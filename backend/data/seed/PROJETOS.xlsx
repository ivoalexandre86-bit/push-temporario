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fba4f70ccb26d7f/Documentos/"/>
    </mc:Choice>
  </mc:AlternateContent>
  <xr:revisionPtr revIDLastSave="0" documentId="8_{9E1A123C-119A-4A39-B2E3-567B0DA7B346}" xr6:coauthVersionLast="47" xr6:coauthVersionMax="47" xr10:uidLastSave="{00000000-0000-0000-0000-000000000000}"/>
  <bookViews>
    <workbookView xWindow="-120" yWindow="-120" windowWidth="29040" windowHeight="15720" firstSheet="1" activeTab="1" xr2:uid="{F2AFB01B-9DC7-4C95-A110-BBB57B7A2926}"/>
  </bookViews>
  <sheets>
    <sheet name="Resumo" sheetId="3" r:id="rId1"/>
    <sheet name="Projetos" sheetId="2" r:id="rId2"/>
    <sheet name="Barcaça" sheetId="1" state="hidden" r:id="rId3"/>
  </sheets>
  <externalReferences>
    <externalReference r:id="rId4"/>
    <externalReference r:id="rId5"/>
    <externalReference r:id="rId6"/>
    <externalReference r:id="rId7"/>
    <externalReference r:id="rId8"/>
  </externalReferences>
  <definedNames>
    <definedName name="__123Graph_B" hidden="1">[1]Questionnaire!$G$30:$G$30</definedName>
    <definedName name="__123Graph_D" hidden="1">[1]Questionnaire!$E$30:$E$30</definedName>
    <definedName name="__bat67" hidden="1">{#N/A,#N/A,FALSE,"Tabl. D1";#N/A,#N/A,FALSE,"Tabl. D1 b";#N/A,#N/A,FALSE,"Tabl. D2";#N/A,#N/A,FALSE,"Tabl. D2 b";#N/A,#N/A,FALSE,"Tabl. D3";#N/A,#N/A,FALSE,"Tabl. D4";#N/A,#N/A,FALSE,"Tabl. D5"}</definedName>
    <definedName name="__NM09" hidden="1">{#N/A,#N/A,FALSE,"Tabl. D1";#N/A,#N/A,FALSE,"Tabl. D1 b";#N/A,#N/A,FALSE,"Tabl. D2";#N/A,#N/A,FALSE,"Tabl. D2 b";#N/A,#N/A,FALSE,"Tabl. D3";#N/A,#N/A,FALSE,"Tabl. D4";#N/A,#N/A,FALSE,"Tabl. D5"}</definedName>
    <definedName name="__taa34" hidden="1">{#N/A,#N/A,FALSE,"Tabl. G1";#N/A,#N/A,FALSE,"Tabl. G2"}</definedName>
    <definedName name="__tab09" hidden="1">{#N/A,#N/A,FALSE,"Tabl. FB300";#N/A,#N/A,FALSE,"Tabl. FB350";#N/A,#N/A,FALSE,"Tabl. FB400";#N/A,#N/A,FALSE,"Tabl. FB500";#N/A,#N/A,FALSE,"Tabl. FS090"}</definedName>
    <definedName name="__TAB120" hidden="1">{#N/A,#N/A,FALSE,"Tabl. FB300";#N/A,#N/A,FALSE,"Tabl. FB350";#N/A,#N/A,FALSE,"Tabl. FB400";#N/A,#N/A,FALSE,"Tabl. FB500";#N/A,#N/A,FALSE,"Tabl. FS090"}</definedName>
    <definedName name="__tab14" hidden="1">{#N/A,#N/A,FALSE,"Tabl. FB300";#N/A,#N/A,FALSE,"Tabl. FB350";#N/A,#N/A,FALSE,"Tabl. FB400";#N/A,#N/A,FALSE,"Tabl. FB500";#N/A,#N/A,FALSE,"Tabl. FS090"}</definedName>
    <definedName name="__tab15" hidden="1">{#N/A,#N/A,FALSE,"Tabl. A1";#N/A,#N/A,FALSE,"Tabl. A1 b";#N/A,#N/A,FALSE,"Tabl. A2";#N/A,#N/A,FALSE,"Tabl. A2-1";#N/A,#N/A,FALSE,"Tabl. A2-2"}</definedName>
    <definedName name="__TAB20" hidden="1">{#N/A,#N/A,FALSE,"Tabl. D1";#N/A,#N/A,FALSE,"Tabl. D1 b";#N/A,#N/A,FALSE,"Tabl. D2";#N/A,#N/A,FALSE,"Tabl. D2 b";#N/A,#N/A,FALSE,"Tabl. D3";#N/A,#N/A,FALSE,"Tabl. D4";#N/A,#N/A,FALSE,"Tabl. D5"}</definedName>
    <definedName name="__tab2341" hidden="1">{#N/A,#N/A,FALSE,"Tabl. FB300";#N/A,#N/A,FALSE,"Tabl. FB350";#N/A,#N/A,FALSE,"Tabl. FB400";#N/A,#N/A,FALSE,"Tabl. FB500";#N/A,#N/A,FALSE,"Tabl. FS090"}</definedName>
    <definedName name="__tab26" hidden="1">{#N/A,#N/A,FALSE,"Tabl. H1";#N/A,#N/A,FALSE,"Tabl. H2"}</definedName>
    <definedName name="__tab27" hidden="1">{#N/A,#N/A,FALSE,"Tabl. D1";#N/A,#N/A,FALSE,"Tabl. D1 b";#N/A,#N/A,FALSE,"Tabl. D2";#N/A,#N/A,FALSE,"Tabl. D2 b";#N/A,#N/A,FALSE,"Tabl. D3";#N/A,#N/A,FALSE,"Tabl. D4";#N/A,#N/A,FALSE,"Tabl. D5"}</definedName>
    <definedName name="__TAB3" hidden="1">{#N/A,#N/A,FALSE,"Tabl. FB300";#N/A,#N/A,FALSE,"Tabl. FB350";#N/A,#N/A,FALSE,"Tabl. FB400";#N/A,#N/A,FALSE,"Tabl. FB500";#N/A,#N/A,FALSE,"Tabl. FS090"}</definedName>
    <definedName name="__tab32" hidden="1">{#N/A,#N/A,FALSE,"Tabl. H1";#N/A,#N/A,FALSE,"Tabl. H2"}</definedName>
    <definedName name="__tab36" hidden="1">{#N/A,#N/A,FALSE,"Tabl. A1";#N/A,#N/A,FALSE,"Tabl. A1 b";#N/A,#N/A,FALSE,"Tabl. A2";#N/A,#N/A,FALSE,"Tabl. A2-1";#N/A,#N/A,FALSE,"Tabl. A2-2"}</definedName>
    <definedName name="__tab37" hidden="1">{#N/A,#N/A,FALSE,"Tabl. G1";#N/A,#N/A,FALSE,"Tabl. G2"}</definedName>
    <definedName name="__tab4" hidden="1">{#N/A,#N/A,FALSE,"Tabl. FB300";#N/A,#N/A,FALSE,"Tabl. FB350";#N/A,#N/A,FALSE,"Tabl. FB400";#N/A,#N/A,FALSE,"Tabl. FB500";#N/A,#N/A,FALSE,"Tabl. FS090"}</definedName>
    <definedName name="__tab40" hidden="1">{#N/A,#N/A,FALSE,"Tabl. FB300";#N/A,#N/A,FALSE,"Tabl. FB350";#N/A,#N/A,FALSE,"Tabl. FB400";#N/A,#N/A,FALSE,"Tabl. FB500";#N/A,#N/A,FALSE,"Tabl. FS090"}</definedName>
    <definedName name="__tab43" hidden="1">{#N/A,#N/A,FALSE,"Tabl. D1";#N/A,#N/A,FALSE,"Tabl. D1 b";#N/A,#N/A,FALSE,"Tabl. D2";#N/A,#N/A,FALSE,"Tabl. D2 b";#N/A,#N/A,FALSE,"Tabl. D3";#N/A,#N/A,FALSE,"Tabl. D4";#N/A,#N/A,FALSE,"Tabl. D5"}</definedName>
    <definedName name="__tab45" hidden="1">{#N/A,#N/A,FALSE,"Tabl. A1";#N/A,#N/A,FALSE,"Tabl. A1 b";#N/A,#N/A,FALSE,"Tabl. A2";#N/A,#N/A,FALSE,"Tabl. A2-1";#N/A,#N/A,FALSE,"Tabl. A2-2"}</definedName>
    <definedName name="__tab5" hidden="1">{#N/A,#N/A,FALSE,"Tabl. FB300";#N/A,#N/A,FALSE,"Tabl. FB350";#N/A,#N/A,FALSE,"Tabl. FB400";#N/A,#N/A,FALSE,"Tabl. FB500";#N/A,#N/A,FALSE,"Tabl. FS090"}</definedName>
    <definedName name="__tab653" hidden="1">{#N/A,#N/A,FALSE,"Tabl. G1";#N/A,#N/A,FALSE,"Tabl. G2"}</definedName>
    <definedName name="__TAB67" hidden="1">{#N/A,#N/A,FALSE,"Tabl. A1";#N/A,#N/A,FALSE,"Tabl. A1 b";#N/A,#N/A,FALSE,"Tabl. A2";#N/A,#N/A,FALSE,"Tabl. A2-1";#N/A,#N/A,FALSE,"Tabl. A2-2"}</definedName>
    <definedName name="__tab678" hidden="1">{#N/A,#N/A,FALSE,"Tabl. FB300";#N/A,#N/A,FALSE,"Tabl. FB350";#N/A,#N/A,FALSE,"Tabl. FB400";#N/A,#N/A,FALSE,"Tabl. FB500";#N/A,#N/A,FALSE,"Tabl. FS090"}</definedName>
    <definedName name="__tab7" hidden="1">{#N/A,#N/A,FALSE,"Tabl. FB300";#N/A,#N/A,FALSE,"Tabl. FB350";#N/A,#N/A,FALSE,"Tabl. FB400";#N/A,#N/A,FALSE,"Tabl. FB500";#N/A,#N/A,FALSE,"Tabl. FS090"}</definedName>
    <definedName name="__tab78" hidden="1">{#N/A,#N/A,FALSE,"Tabl. D1";#N/A,#N/A,FALSE,"Tabl. D1 b";#N/A,#N/A,FALSE,"Tabl. D2";#N/A,#N/A,FALSE,"Tabl. D2 b";#N/A,#N/A,FALSE,"Tabl. D3";#N/A,#N/A,FALSE,"Tabl. D4";#N/A,#N/A,FALSE,"Tabl. D5"}</definedName>
    <definedName name="__TAB8" hidden="1">{#N/A,#N/A,FALSE,"Tabl. FB300";#N/A,#N/A,FALSE,"Tabl. FB350";#N/A,#N/A,FALSE,"Tabl. FB400";#N/A,#N/A,FALSE,"Tabl. FB500";#N/A,#N/A,FALSE,"Tabl. FS090"}</definedName>
    <definedName name="__tab80" hidden="1">{#N/A,#N/A,FALSE,"Tabl. FB300";#N/A,#N/A,FALSE,"Tabl. FB350";#N/A,#N/A,FALSE,"Tabl. FB400";#N/A,#N/A,FALSE,"Tabl. FB500";#N/A,#N/A,FALSE,"Tabl. FS090"}</definedName>
    <definedName name="__TAB90" hidden="1">{#N/A,#N/A,FALSE,"Tabl. H1";#N/A,#N/A,FALSE,"Tabl. H2"}</definedName>
    <definedName name="__tab98" hidden="1">{#N/A,#N/A,FALSE,"Tabl. A1";#N/A,#N/A,FALSE,"Tabl. A1 b";#N/A,#N/A,FALSE,"Tabl. A2";#N/A,#N/A,FALSE,"Tabl. A2-1";#N/A,#N/A,FALSE,"Tabl. A2-2"}</definedName>
    <definedName name="__tab987" hidden="1">{#N/A,#N/A,FALSE,"Tabl. G1";#N/A,#N/A,FALSE,"Tabl. G2"}</definedName>
    <definedName name="_1_">#REF!</definedName>
    <definedName name="_2_">#REF!</definedName>
    <definedName name="_BQ4.1" hidden="1">#REF!</definedName>
    <definedName name="_BQ4.2" hidden="1">#REF!</definedName>
    <definedName name="_BQ4.3" hidden="1">#REF!</definedName>
    <definedName name="_BQ4.5" hidden="1">#REF!</definedName>
    <definedName name="_BQ4.6" hidden="1">#REF!</definedName>
    <definedName name="_BQ4.8" hidden="1">#REF!</definedName>
    <definedName name="_BQ5.2" hidden="1">#REF!</definedName>
    <definedName name="_Fill" hidden="1">#REF!</definedName>
    <definedName name="_xlnm._FilterDatabase" localSheetId="2" hidden="1">Barcaça!$B$2:$H$2</definedName>
    <definedName name="_xlnm._FilterDatabase" localSheetId="1" hidden="1">Projetos!$A$2:$K$84</definedName>
    <definedName name="_JQ4.1"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a">#REF!</definedName>
    <definedName name="af" hidden="1">{#N/A,#N/A,TRUE,"Suprachem Intern";#N/A,#N/A,TRUE,"Suprachem";#N/A,#N/A,TRUE,"Teeraanleg";#N/A,#N/A,TRUE,"B.T.X. Aanleg";#N/A,#N/A,TRUE,"Depot";#N/A,#N/A,TRUE,"Kooks";#N/A,#N/A,TRUE,"Korrelslak";#N/A,#N/A,TRUE,"Lurgi";#N/A,#N/A,TRUE,"Herverkope";#N/A,#N/A,TRUE,"Magneetpoeier Aanleg";#N/A,#N/A,TRUE,"Verdeling van H.K. koste"}</definedName>
    <definedName name="AFDaf" hidden="1">#REF!</definedName>
    <definedName name="Agosto" hidden="1">#REF!</definedName>
    <definedName name="Ap_input_22R" hidden="1">{#N/A,#N/A,FALSE,"Sheet1"}</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fasdf">#REF!</definedName>
    <definedName name="asdfasf" hidden="1">{"Asia1",#N/A,FALSE,"Asia";"Asia2",#N/A,FALSE,"Asia"}</definedName>
    <definedName name="asdgsdghsdfgh" hidden="1">{"Eur1",#N/A,FALSE,"Europe";"Eur2",#N/A,FALSE,"Europe"}</definedName>
    <definedName name="asf">#REF!</definedName>
    <definedName name="assa">#REF!</definedName>
    <definedName name="Ata" hidden="1">{#N/A,#N/A,FALSE,"ROTINA";#N/A,#N/A,FALSE,"ITENS";#N/A,#N/A,FALSE,"ACOMP"}</definedName>
    <definedName name="auto_close">[2]!AnalystSheetClose</definedName>
    <definedName name="bat67_evolFev2005" hidden="1">{#N/A,#N/A,FALSE,"Tabl. D1";#N/A,#N/A,FALSE,"Tabl. D1 b";#N/A,#N/A,FALSE,"Tabl. D2";#N/A,#N/A,FALSE,"Tabl. D2 b";#N/A,#N/A,FALSE,"Tabl. D3";#N/A,#N/A,FALSE,"Tabl. D4";#N/A,#N/A,FALSE,"Tabl. D5"}</definedName>
    <definedName name="BATEAU" hidden="1">{#N/A,#N/A,FALSE,"Tabl. G1";#N/A,#N/A,FALSE,"Tabl. G2"}</definedName>
    <definedName name="BATEAU_evolFev2005" hidden="1">{#N/A,#N/A,FALSE,"Tabl. G1";#N/A,#N/A,FALSE,"Tabl. G2"}</definedName>
    <definedName name="BG_Del" hidden="1">15</definedName>
    <definedName name="BG_Ins" hidden="1">4</definedName>
    <definedName name="BG_Mod" hidden="1">6</definedName>
    <definedName name="book2" hidden="1">{#N/A,#N/A,FALSE,"Sheet1"}</definedName>
    <definedName name="canot" hidden="1">{#N/A,#N/A,FALSE,"Tabl. FB300";#N/A,#N/A,FALSE,"Tabl. FB350";#N/A,#N/A,FALSE,"Tabl. FB400";#N/A,#N/A,FALSE,"Tabl. FB500";#N/A,#N/A,FALSE,"Tabl. FS090"}</definedName>
    <definedName name="CAPTURA2" hidden="1">{"'171'!$A$1:$Z$50"}</definedName>
    <definedName name="champ" hidden="1">{#N/A,#N/A,FALSE,"Tabl. G1";#N/A,#N/A,FALSE,"Tabl. G2"}</definedName>
    <definedName name="CURVA2" hidden="1">{"'171'!$A$1:$Z$50"}</definedName>
    <definedName name="ddddddd" hidden="1">{#N/A,#N/A,FALSE,"ROTINA";#N/A,#N/A,FALSE,"ITENS";#N/A,#N/A,FALSE,"ACOMP"}</definedName>
    <definedName name="dfd" hidden="1">{#N/A,#N/A,FALSE,"Aging Summary";#N/A,#N/A,FALSE,"Ratio Analysis";#N/A,#N/A,FALSE,"Test 120 Day Accts";#N/A,#N/A,FALSE,"Tickmarks"}</definedName>
    <definedName name="dfdfg" hidden="1">{#N/A,#N/A,FALSE,"Aging Summary";#N/A,#N/A,FALSE,"Ratio Analysis";#N/A,#N/A,FALSE,"Test 120 Day Accts";#N/A,#N/A,FALSE,"Tickmarks"}</definedName>
    <definedName name="dfds" hidden="1">#REF!</definedName>
    <definedName name="Diárias">[2]!AnalystSheetClose</definedName>
    <definedName name="ds">#REF!</definedName>
    <definedName name="esdr" hidden="1">{#N/A,#N/A,FALSE,"ROTINA";#N/A,#N/A,FALSE,"ITENS";#N/A,#N/A,FALSE,"ACOMP"}</definedName>
    <definedName name="EV__EVCOM_OPTIONS__" hidden="1">8</definedName>
    <definedName name="EV__EXPOPTIONS__" hidden="1">1</definedName>
    <definedName name="EV__LASTREFTIME__" hidden="1">40955.4886921296</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fd">#REF!</definedName>
    <definedName name="fddf" hidden="1">{"celkový rozpočet - detail",#N/A,FALSE,"Aktualizace č. 1"}</definedName>
    <definedName name="fdsff">#REF!</definedName>
    <definedName name="ffsgsdgsd" hidden="1">{#N/A,#N/A,FALSE,"Aging Summary";#N/A,#N/A,FALSE,"Ratio Analysis";#N/A,#N/A,FALSE,"Test 120 Day Accts";#N/A,#N/A,FALSE,"Tickmarks"}</definedName>
    <definedName name="fggfdfgf" hidden="1">{#N/A,#N/A,FALSE,"Aging Summary";#N/A,#N/A,FALSE,"Ratio Analysis";#N/A,#N/A,FALSE,"Test 120 Day Accts";#N/A,#N/A,FALSE,"Tickmarks"}</definedName>
    <definedName name="fghk" hidden="1">{#N/A,#N/A,TRUE,"Tar B.U";#N/A,#N/A,TRUE,"Teeraanleg";#N/A,#N/A,TRUE,"TeerHerverkope";#N/A,#N/A,TRUE,"Carbon B.U";#N/A,#N/A,TRUE,"Kooks";#N/A,#N/A,TRUE,"Herverkopekooks";#N/A,#N/A,TRUE,"Ferrite B.U";#N/A,#N/A,TRUE,"Lurgi";#N/A,#N/A,TRUE,"Magpowder";#N/A,#N/A,TRUE,"Trade";#N/A,#N/A,TRUE,"Nurock";#N/A,#N/A,TRUE,"Suprachem"}</definedName>
    <definedName name="fsdfasdfa">#REF!</definedName>
    <definedName name="gf">#REF!</definedName>
    <definedName name="gggg" hidden="1">{#N/A,#N/A,FALSE,"Aging Summary";#N/A,#N/A,FALSE,"Ratio Analysis";#N/A,#N/A,FALSE,"Test 120 Day Accts";#N/A,#N/A,FALSE,"Tickmarks"}</definedName>
    <definedName name="Grafico_Atraso">#REF!</definedName>
    <definedName name="Grafico_Data">#REF!</definedName>
    <definedName name="Grafico_Previsto">#REF!</definedName>
    <definedName name="Grafico_Real">#REF!</definedName>
    <definedName name="gsd">#REF!</definedName>
    <definedName name="Guarana" hidden="1">{"'171'!$A$1:$Z$50"}</definedName>
    <definedName name="H" hidden="1">{#N/A,#N/A,FALSE,"Aging Summary";#N/A,#N/A,FALSE,"Ratio Analysis";#N/A,#N/A,FALSE,"Test 120 Day Accts";#N/A,#N/A,FALSE,"Tickmarks"}</definedName>
    <definedName name="HTML_CodePage" hidden="1">1252</definedName>
    <definedName name="HTML_Control" hidden="1">{"'171'!$A$1:$Z$50"}</definedName>
    <definedName name="HTML_Control2" hidden="1">{"'171'!$A$1:$Z$50"}</definedName>
    <definedName name="HTML_Description" hidden="1">""</definedName>
    <definedName name="HTML_Email" hidden="1">""</definedName>
    <definedName name="HTML_Header" hidden="1">"171"</definedName>
    <definedName name="HTML_LastUpdate" hidden="1">"29/05/01"</definedName>
    <definedName name="HTML_LineAfter" hidden="1">FALSE</definedName>
    <definedName name="HTML_LineBefore" hidden="1">FALSE</definedName>
    <definedName name="HTML_Name" hidden="1">"Luciano Fernandes Falcioni"</definedName>
    <definedName name="HTML_OBDlg2" hidden="1">TRUE</definedName>
    <definedName name="HTML_OBDlg4" hidden="1">TRUE</definedName>
    <definedName name="HTML_OS" hidden="1">0</definedName>
    <definedName name="HTML_PathFile" hidden="1">"C:\PPF\MeuHTML.htm"</definedName>
    <definedName name="HTML_Title" hidden="1">"SACI2"</definedName>
    <definedName name="Inc_Meat_Bgt0708" hidden="1">{"Euraje",#N/A,FALSE,"Eur CE AJE";"Amer Consol Entries AJE",#N/A,FALSE,"Amer CE AJE";"Asia AJEs",#N/A,FALSE,"Asia CE AJE"}</definedName>
    <definedName name="Ishi" hidden="1">{"'RR'!$A$2:$E$81"}</definedName>
    <definedName name="Largura_Premissas">#REF!</definedName>
    <definedName name="Largura_Riscos">#REF!</definedName>
    <definedName name="Largura_SR">#REF!</definedName>
    <definedName name="nn" hidden="1">{#N/A,#N/A,FALSE,"Sheet1"}</definedName>
    <definedName name="Nov_Dec_2003_MRF" hidden="1">{#N/A,#N/A,FALSE,"Sheet1"}</definedName>
    <definedName name="nova_pasta">#REF!</definedName>
    <definedName name="OK">#REF!</definedName>
    <definedName name="óleo" hidden="1">{"'171'!$A$1:$Z$50"}</definedName>
    <definedName name="PA" hidden="1">{"'RR'!$A$2:$E$81"}</definedName>
    <definedName name="Plante" hidden="1">{#N/A,#N/A,FALSE,"Tabl. G1";#N/A,#N/A,FALSE,"Tabl. G2"}</definedName>
    <definedName name="pluie" hidden="1">{#N/A,#N/A,FALSE,"Tabl. H1";#N/A,#N/A,FALSE,"Tabl. H2"}</definedName>
    <definedName name="Projetos" hidden="1">{#N/A,#N/A,FALSE,"ROTINA";#N/A,#N/A,FALSE,"ITENS";#N/A,#N/A,FALSE,"ACOMP"}</definedName>
    <definedName name="qlp">[2]!AnalystSheetClose</definedName>
    <definedName name="QQQ" hidden="1">#REF!</definedName>
    <definedName name="Qualidade_050106" hidden="1">{#N/A,#N/A,FALSE,"RELATÓRIO";#N/A,#N/A,FALSE,"RELATÓRIO"}</definedName>
    <definedName name="reducao" hidden="1">{"'171'!$A$1:$Z$50"}</definedName>
    <definedName name="ree" hidden="1">#REF!</definedName>
    <definedName name="RODrigo">#REF!</definedName>
    <definedName name="samir">#REF!</definedName>
    <definedName name="sdfhash" hidden="1">{"Summary",#N/A,FALSE,"Summary"}</definedName>
    <definedName name="SegmentaçãodeDados_ÁREA___PROCESSO">#N/A</definedName>
    <definedName name="SegmentaçãodeDados_MÊS_REF.">#N/A</definedName>
    <definedName name="SegmentaçãodeDados_Projeto">#N/A</definedName>
    <definedName name="SegmentaçãodeDados_STATUS">#N/A</definedName>
    <definedName name="shit" hidden="1">{#N/A,#N/A,FALSE,"Aging Summary";#N/A,#N/A,FALSE,"Ratio Analysis";#N/A,#N/A,FALSE,"Test 120 Day Accts";#N/A,#N/A,FALSE,"Tickmarks"}</definedName>
    <definedName name="shit1" hidden="1">{#N/A,#N/A,FALSE,"Aging Summary";#N/A,#N/A,FALSE,"Ratio Analysis";#N/A,#N/A,FALSE,"Test 120 Day Accts";#N/A,#N/A,FALSE,"Tickmarks"}</definedName>
    <definedName name="Smlouvy" hidden="1">{"celkový rozpočet - detail",#N/A,FALSE,"Aktualizace č. 1"}</definedName>
    <definedName name="Soda" hidden="1">{"'171'!$A$1:$Z$50"}</definedName>
    <definedName name="sss" hidden="1">#REF!</definedName>
    <definedName name="SWOT" hidden="1">{#N/A,#N/A,FALSE,"ROTINA";#N/A,#N/A,FALSE,"ITENS";#N/A,#N/A,FALSE,"ACOMP"}</definedName>
    <definedName name="tab" hidden="1">{#N/A,#N/A,FALSE,"Tabl. G1";#N/A,#N/A,FALSE,"Tabl. G2"}</definedName>
    <definedName name="TABL00" hidden="1">{#N/A,#N/A,FALSE,"Tabl. D1";#N/A,#N/A,FALSE,"Tabl. D1 b";#N/A,#N/A,FALSE,"Tabl. D2";#N/A,#N/A,FALSE,"Tabl. D2 b";#N/A,#N/A,FALSE,"Tabl. D3";#N/A,#N/A,FALSE,"Tabl. D4";#N/A,#N/A,FALSE,"Tabl. D5"}</definedName>
    <definedName name="tableé" hidden="1">{#N/A,#N/A,FALSE,"Tabl. G1";#N/A,#N/A,FALSE,"Tabl. G2"}</definedName>
    <definedName name="TAIO">#REF!</definedName>
    <definedName name="test" hidden="1">{#N/A,#N/A,FALSE,"ROTINA";#N/A,#N/A,FALSE,"ITENS";#N/A,#N/A,FALSE,"ACOMP"}</definedName>
    <definedName name="teste">#REF!</definedName>
    <definedName name="testes" hidden="1">{#N/A,#N/A,FALSE,"ROTINA";#N/A,#N/A,FALSE,"ITENS";#N/A,#N/A,FALSE,"ACOMP"}</definedName>
    <definedName name="uuu" hidden="1">{#N/A,#N/A,FALSE,"RELATÓRIO";#N/A,#N/A,FALSE,"RELATÓRIO"}</definedName>
    <definedName name="VANES" hidden="1">{#N/A,#N/A,FALSE,"Tabl. A1";#N/A,#N/A,FALSE,"Tabl. A1 b";#N/A,#N/A,FALSE,"Tabl. A2";#N/A,#N/A,FALSE,"Tabl. A2-1";#N/A,#N/A,FALSE,"Tabl. A2-2"}</definedName>
    <definedName name="vannes" hidden="1">{#N/A,#N/A,FALSE,"Tabl. G1";#N/A,#N/A,FALSE,"Tabl. G2"}</definedName>
    <definedName name="we">#REF!</definedName>
    <definedName name="wrn.AANBIEDING." hidden="1">{#N/A,#N/A,FALSE,"Besr Frek Graph";#N/A,#N/A,FALSE,"OMV Verslag Graf";#N/A,#N/A,FALSE,"Klagtes Graf";#N/A,#N/A,FALSE,"KV - Kostes Graf"}</definedName>
    <definedName name="wrn.Aging._.and._.Trend._.Analysis."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JEs." hidden="1">{"Euraje",#N/A,FALSE,"Eur CE AJE";"Amer Consol Entries AJE",#N/A,FALSE,"Amer CE AJE";"Asia AJEs",#N/A,FALSE,"Asia CE AJE"}</definedName>
    <definedName name="wrn.ALL." hidden="1">{"Summary",#N/A,FALSE,"Summary";"Eur1",#N/A,FALSE,"Europe";"Eur2",#N/A,FALSE,"Europe";"Amer1",#N/A,FALSE,"Americas";"Amer2",#N/A,FALSE,"Americas";"Asia1",#N/A,FALSE,"Asia";"Asia2",#N/A,FALSE,"Asia"}</definedName>
    <definedName name="wrn.Americas." hidden="1">{"Amer1",#N/A,FALSE,"Americas";"Amer2",#N/A,FALSE,"Americas"}</definedName>
    <definedName name="wrn.Asia." hidden="1">{"Asia1",#N/A,FALSE,"Asia";"Asia2",#N/A,FALSE,"Asia"}</definedName>
    <definedName name="wrn.Bedryf._.Weekverslag." hidden="1">{#N/A,#N/A,FALSE,"Voorblad";#N/A,#N/A,FALSE,"KW Grafieke";#N/A,#N/A,FALSE,"MW Grafieke";#N/A,#N/A,FALSE,"DW Grafieke";#N/A,#N/A,FALSE,"SW Grafieke";#N/A,#N/A,FALSE,"Prod Teg Grafieke"}</definedName>
    <definedName name="wrn.BOOK1.XLS." hidden="1">{#N/A,#N/A,FALSE,"Sheet1"}</definedName>
    <definedName name="wrn.celkový._.tisk._.detail." hidden="1">{"celkový rozpočet - detail",#N/A,FALSE,"Aktualizace č. 1"}</definedName>
    <definedName name="wrn.complet."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wrn.DIRETRIZ." hidden="1">{#N/A,#N/A,FALSE,"ROTINA";#N/A,#N/A,FALSE,"ITENS";#N/A,#N/A,FALSE,"ACOMP"}</definedName>
    <definedName name="wrn.Druk._.Totale._.Begroting." hidden="1">{#N/A,#N/A,TRUE,"Suprachem Intern";#N/A,#N/A,TRUE,"Suprachem";#N/A,#N/A,TRUE,"Teeraanleg";#N/A,#N/A,TRUE,"B.T.X. Aanleg";#N/A,#N/A,TRUE,"Depot";#N/A,#N/A,TRUE,"Kooks";#N/A,#N/A,TRUE,"Korrelslak";#N/A,#N/A,TRUE,"Lurgi";#N/A,#N/A,TRUE,"Herverkope";#N/A,#N/A,TRUE,"Magneetpoeier Aanleg";#N/A,#N/A,TRUE,"Verdeling van H.K. koste"}</definedName>
    <definedName name="wrn.Europe." hidden="1">{"Eur1",#N/A,FALSE,"Europe";"Eur2",#N/A,FALSE,"Europe"}</definedName>
    <definedName name="wrn.Printall." hidden="1">{#N/A,#N/A,FALSE,"INDEX";#N/A,#N/A,FALSE,"AGENDA";#N/A,#N/A,FALSE,"Participants";#N/A,#N/A,FALSE,"Preparations";#N/A,#N/A,FALSE,"KIP - Configuration";#N/A,#N/A,FALSE,"KIP - Performance";#N/A,#N/A,FALSE,"KIP - Operating";#N/A,#N/A,FALSE,"Topic Sheet List";#N/A,#N/A,FALSE,"Data Topic Sheet"}</definedName>
    <definedName name="wrn.ptp." hidden="1">{#N/A,#N/A,FALSE,"RELATÓRIO";#N/A,#N/A,FALSE,"RELATÓRIO"}</definedName>
    <definedName name="wrn.Summary." hidden="1">{"Summary",#N/A,FALSE,"Summary"}</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x" hidden="1">{#N/A,#N/A,FALSE,"ROTINA";#N/A,#N/A,FALSE,"ITENS";#N/A,#N/A,FALSE,"ACOMP"}</definedName>
    <definedName name="XRefColumnsCount" hidden="1">1</definedName>
    <definedName name="XRefCopyRangeCount" hidden="1">6</definedName>
    <definedName name="xyz" hidden="1">{#N/A,#N/A,TRUE,"Tar B.U";#N/A,#N/A,TRUE,"Teeraanleg";#N/A,#N/A,TRUE,"TeerHerverkope";#N/A,#N/A,TRUE,"Carbon B.U";#N/A,#N/A,TRUE,"Kooks";#N/A,#N/A,TRUE,"Herverkopekooks";#N/A,#N/A,TRUE,"Ferrite B.U";#N/A,#N/A,TRUE,"Lurgi";#N/A,#N/A,TRUE,"Magpowder";#N/A,#N/A,TRUE,"Trade";#N/A,#N/A,TRUE,"Nurock";#N/A,#N/A,TRUE,"Suprachem"}</definedName>
    <definedName name="y" hidden="1">{#N/A,#N/A,FALSE,"ROTINA";#N/A,#N/A,FALSE,"ITENS";#N/A,#N/A,FALSE,"ACOMP"}</definedName>
    <definedName name="z\s">#REF!</definedName>
    <definedName name="Z_210DF800_4D59_11D6_9DF9_0004AC9599ED_.wvu.Cols" hidden="1">'[3]Farol de Metas'!#REF!</definedName>
    <definedName name="Z_3DBF11C1_AF68_11D6_A998_000629AADC70_.wvu.FilterData" hidden="1">'[4]Dev.SAC '!$W$3:$Y$132</definedName>
    <definedName name="Z_44931E07_568C_11D5_BDEA_0004AC32B916_.wvu.Cols" hidden="1">'[3]Farol de Metas'!#REF!</definedName>
    <definedName name="Z_89B24FFA_B8EE_11D6_9DF9_0004AC9599ED_.wvu.PrintArea" hidden="1">#REF!</definedName>
    <definedName name="Z_8BA4715C_EC6D_472D_8E7D_6B55C8A2D072_.wvu.Rows" hidden="1">'[5]BASE DE DADOS'!$A$15:$IV$16,'[5]BASE DE DADOS'!$A$17:$IV$18</definedName>
    <definedName name="Z_AF7625A3_E279_490C_86E2_6D0723D57A1E_.wvu.FilterData" hidden="1">'[4]Dev.SAC '!$W$3:$Y$132</definedName>
    <definedName name="Z_BDB4B167_E3AA_11D7_8D7A_00B0D08F20DC_.wvu.PrintArea" hidden="1">#REF!</definedName>
    <definedName name="Z_E24C1EE5_98CF_11D6_A72B_08005AA614B9_.wvu.PrintArea" hidden="1">#REF!</definedName>
    <definedName name="Z_EF7ECF05_99AF_11D6_8A55_0004AC55CD8B_.wvu.PrintArea" hidden="1">#REF!</definedName>
  </definedNames>
  <calcPr calcId="191028"/>
  <pivotCaches>
    <pivotCache cacheId="0"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l="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I15" i="2"/>
  <c r="A179" i="2" l="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I39" i="2"/>
  <c r="I24" i="2"/>
  <c r="I25" i="2"/>
  <c r="I26" i="2"/>
  <c r="I27" i="2"/>
  <c r="I28" i="2"/>
  <c r="I29" i="2"/>
  <c r="I30" i="2"/>
  <c r="I31" i="2"/>
  <c r="I32" i="2"/>
  <c r="I33" i="2"/>
  <c r="I34" i="2"/>
  <c r="I35" i="2"/>
  <c r="I36" i="2"/>
  <c r="I23" i="2"/>
  <c r="A4" i="1" l="1"/>
  <c r="A5" i="1" s="1"/>
  <c r="A6" i="1" s="1"/>
  <c r="A7" i="1" s="1"/>
  <c r="A8" i="1" s="1"/>
  <c r="A9" i="1" s="1"/>
  <c r="A10" i="1" s="1"/>
  <c r="A11" i="1" s="1"/>
  <c r="A12" i="1" s="1"/>
  <c r="A13" i="1" s="1"/>
  <c r="A14" i="1" s="1"/>
  <c r="A15" i="1" s="1"/>
  <c r="A16" i="1" s="1"/>
  <c r="A17" i="1" s="1"/>
  <c r="A18" i="1" s="1"/>
  <c r="A19" i="1" s="1"/>
  <c r="A2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Ivo Alexandre Soares</author>
  </authors>
  <commentList>
    <comment ref="E95" authorId="0" shapeId="0" xr:uid="{346AF084-0179-4798-B328-DD473C4C67F7}">
      <text>
        <r>
          <rPr>
            <b/>
            <sz val="9"/>
            <color indexed="81"/>
            <rFont val="Segoe UI"/>
            <charset val="1"/>
          </rPr>
          <t>Ivo Alexandre Soares:</t>
        </r>
        <r>
          <rPr>
            <sz val="9"/>
            <color indexed="81"/>
            <rFont val="Segoe UI"/>
            <charset val="1"/>
          </rPr>
          <t xml:space="preserve">
Estrutura do gráfico
Colunas agrupadas (Clustered Column)
Representam os valores dos anos:
Ano 1 = 2.500 ton (cinza)
Ano 2 = 2.100 ton (preto)
Meta = 2.400 ton (vermelho)
Gráfico de Linha com marcadores (Line with Markers)
Série Realizado (linha preta com marcadores em losango azul).
Exibe os valores mensais realizados.
Linha horizontal de meta
Série Meta representada por uma linha vermelha tracejada.
É uma linha constante no valor de 2.400 ton ao longo dos meses.
Linha de Acumulado Médio
Na legenda aparece como Acum Médio (verde).
Nesta imagem ela não está visível (provavelmente está oculta, sem dados ou atrás de outra série).
Tipo do gráfico no Excel
No Excel, esse gráfico é criado como:
Inserir → Gráfico Combinado (Combo Chart)
Com a seguinte configuração:
Série Tipo
Ano 1 Coluna Agrupada
Ano 2 Coluna Agrupada
Meta (barra) Coluna Agrupada
Realizado Linha com Marcadores
Meta (linha) Linha
Acum Médio Linha
Características do layout
Eixo Y variando de 1.500 a 2.900 toneladas.
Marcadores em losango para a série "Realizado".
Linha de meta em vermelho tracejado.
Rótulos de dados em praticamente todos os pontos.
Grade horizontal discreta.
Título centralizado.
Legenda na parte inferior.</t>
        </r>
      </text>
    </comment>
    <comment ref="E98" authorId="0" shapeId="0" xr:uid="{7F77778E-675C-479D-B3D7-8306BF794D76}">
      <text>
        <r>
          <rPr>
            <b/>
            <sz val="9"/>
            <color indexed="81"/>
            <rFont val="Segoe UI"/>
            <charset val="1"/>
          </rPr>
          <t>Ivo Alexandre Soares:</t>
        </r>
        <r>
          <rPr>
            <sz val="9"/>
            <color indexed="81"/>
            <rFont val="Segoe UI"/>
            <charset val="1"/>
          </rPr>
          <t xml:space="preserve">
Estrutura do gráfico
Colunas (Clustered Column)
Representam os valores absolutos (R$ mil) de cada categoria.
Estão ordenadas em ordem decrescente.
Exemplo:
Transporte = R$ 3.000 mil
Restaurante = R$ 1.890 mil
Conv. Saúde = R$ 1.100 mil
Alimentação = R$ 900 mil
...
Linha de Percentual Acumulado
Linha vermelha com marcadores quadrados.
Calculada sobre o acumulado dos valores.
Utiliza o eixo secundário (lado direito), variando de 0% a 100%.
Exemplo:
Transporte → 37%
Transporte + Restaurante → 60%
Convênio Saúde → 73%
Alimentação → 84%
...
Total → 100%
Dois eixos
Eixo esquerdo: Valores monetários (R$ mil).
Eixo direito: Percentual acumulado.
Tipo no Excel
No Excel (2016 ou superior), você pode criar de duas formas:
Opção 1 (Recomendada)
Inserir → Gráfico Estatístico → Pareto
O Excel cria automaticamente:
Colunas ordenadas;
Linha de percentual acumulado;
Eixo secundário.
Opção 2 (Personalizado)
Inserir → Gráfico Combinado</t>
        </r>
      </text>
    </comment>
    <comment ref="E108" authorId="0" shapeId="0" xr:uid="{308D8953-1451-4D38-A984-FD08E2A3950E}">
      <text>
        <r>
          <rPr>
            <b/>
            <sz val="9"/>
            <color indexed="81"/>
            <rFont val="Segoe UI"/>
            <charset val="1"/>
          </rPr>
          <t>Ivo Alexandre Soares:</t>
        </r>
        <r>
          <rPr>
            <sz val="9"/>
            <color indexed="81"/>
            <rFont val="Segoe UI"/>
            <charset val="1"/>
          </rPr>
          <t xml:space="preserve">
Matheus,
Por favor, adicionar mais uma camada na API com a JBS para criação de multi transportado no webservice. Além disso, validar os endpoints já existentes e criar os que ainda não foram desenvolvidos.
Funcionalidades – Programação com OC
• Listar demandas
• Aceitar ou recusar demanda
• Programar motorista
• Programar conjunto (cavalo e carreta)
• Início de viagem pelo motorista
• Finalizar coleta
• Finalizar processo
Funcionalidades – Tração OC
• Listar faturadas
• Agendar
• Justificativa de não agendamento
• Listar motivos de não agendamento
• Programar motorista
• Programar conjunto (cavalo e carreta)
• Início de viagem pelo motorista
• Finalizar coleta
• Finalizar processo
</t>
        </r>
      </text>
    </comment>
    <comment ref="E185" authorId="0" shapeId="0" xr:uid="{FBC25806-1ED9-4524-841A-27798F6CC502}">
      <text>
        <r>
          <rPr>
            <b/>
            <sz val="9"/>
            <color indexed="81"/>
            <rFont val="Segoe UI"/>
            <charset val="1"/>
          </rPr>
          <t>Ivo Alexandre Soares:</t>
        </r>
        <r>
          <rPr>
            <sz val="9"/>
            <color indexed="81"/>
            <rFont val="Segoe UI"/>
            <charset val="1"/>
          </rPr>
          <t xml:space="preserve">
Estrutura do gráfico
Colunas (Clustered Column)
Representam os valores absolutos (R$ mil) de cada categoria.
Estão ordenadas em ordem decrescente.
Exemplo:
Transporte = R$ 3.000 mil
Restaurante = R$ 1.890 mil
Conv. Saúde = R$ 1.100 mil
Alimentação = R$ 900 mil
...
Linha de Percentual Acumulado
Linha vermelha com marcadores quadrados.
Calculada sobre o acumulado dos valores.
Utiliza o eixo secundário (lado direito), variando de 0% a 100%.
Exemplo:
Transporte → 37%
Transporte + Restaurante → 60%
Convênio Saúde → 73%
Alimentação → 84%
...
Total → 100%
Dois eixos
Eixo esquerdo: Valores monetários (R$ mil).
Eixo direito: Percentual acumulado.
Tipo no Excel
No Excel (2016 ou superior), você pode criar de duas formas:
Opção 1 (Recomendada)
Inserir → Gráfico Estatístico → Pareto
O Excel cria automaticamente:
Colunas ordenadas;
Linha de percentual acumulado;
Eixo secundário.
Opção 2 (Personalizado)
Inserir → Gráfico Combinado</t>
        </r>
      </text>
    </comment>
    <comment ref="E1025" authorId="0" shapeId="0" xr:uid="{6B5BFBFF-8C72-430D-A13D-8B2B5599C4D7}">
      <text>
        <r>
          <rPr>
            <b/>
            <sz val="9"/>
            <color indexed="81"/>
            <rFont val="Segoe UI"/>
            <charset val="1"/>
          </rPr>
          <t>Ivo Alexandre Soares:</t>
        </r>
        <r>
          <rPr>
            <sz val="9"/>
            <color indexed="81"/>
            <rFont val="Segoe UI"/>
            <charset val="1"/>
          </rPr>
          <t xml:space="preserve">
Estrutura do gráfico
Colunas (Clustered Column)
Representam os valores absolutos (R$ mil) de cada categoria.
Estão ordenadas em ordem decrescente.
Exemplo:
Transporte = R$ 3.000 mil
Restaurante = R$ 1.890 mil
Conv. Saúde = R$ 1.100 mil
Alimentação = R$ 900 mil
...
Linha de Percentual Acumulado
Linha vermelha com marcadores quadrados.
Calculada sobre o acumulado dos valores.
Utiliza o eixo secundário (lado direito), variando de 0% a 100%.
Exemplo:
Transporte → 37%
Transporte + Restaurante → 60%
Convênio Saúde → 73%
Alimentação → 84%
...
Total → 100%
Dois eixos
Eixo esquerdo: Valores monetários (R$ mil).
Eixo direito: Percentual acumulado.
Tipo no Excel
No Excel (2016 ou superior), você pode criar de duas formas:
Opção 1 (Recomendada)
Inserir → Gráfico Estatístico → Pareto
O Excel cria automaticamente:
Colunas ordenadas;
Linha de percentual acumulado;
Eixo secundário.
Opção 2 (Personalizado)
Inserir → Gráfico Combinado</t>
        </r>
      </text>
    </comment>
  </commentList>
</comments>
</file>

<file path=xl/sharedStrings.xml><?xml version="1.0" encoding="utf-8"?>
<sst xmlns="http://schemas.openxmlformats.org/spreadsheetml/2006/main" count="2094" uniqueCount="422">
  <si>
    <t>Contagem de AÇÃO</t>
  </si>
  <si>
    <t>STATUS</t>
  </si>
  <si>
    <t>Projeto</t>
  </si>
  <si>
    <t>AÇÃO</t>
  </si>
  <si>
    <t>ANDAMENTO</t>
  </si>
  <si>
    <t>CONCLUÍDO</t>
  </si>
  <si>
    <t>EM ESTUDO</t>
  </si>
  <si>
    <t>Total Geral</t>
  </si>
  <si>
    <t>SOX - BALSA</t>
  </si>
  <si>
    <t>Agendamento Portos</t>
  </si>
  <si>
    <t>Mobiletec</t>
  </si>
  <si>
    <t>Monitoramento</t>
  </si>
  <si>
    <t>Newco Campinas</t>
  </si>
  <si>
    <t>Newco Bebedouro</t>
  </si>
  <si>
    <t>Câmeras Frota ME</t>
  </si>
  <si>
    <t>Barcaça</t>
  </si>
  <si>
    <t>Lead Time ME</t>
  </si>
  <si>
    <t>Ar Condicionado</t>
  </si>
  <si>
    <t>CFTV Terminal</t>
  </si>
  <si>
    <t>TVs Video Wall</t>
  </si>
  <si>
    <t xml:space="preserve">Reforma </t>
  </si>
  <si>
    <t>Integração Frete Planta Porto</t>
  </si>
  <si>
    <t>WallDash</t>
  </si>
  <si>
    <t>RoadLog</t>
  </si>
  <si>
    <t>Transporte</t>
  </si>
  <si>
    <t>Luizito</t>
  </si>
  <si>
    <t>Plano de Ação| 
Projetos 
Transporte ME</t>
  </si>
  <si>
    <t>ID</t>
  </si>
  <si>
    <t>MÊS REF.</t>
  </si>
  <si>
    <t>ÁREA | PROCESSO</t>
  </si>
  <si>
    <t>QUEM</t>
  </si>
  <si>
    <t>Tempo (h)</t>
  </si>
  <si>
    <t>INÍCIO</t>
  </si>
  <si>
    <t>FIM</t>
  </si>
  <si>
    <t>OBSERVAÇÕES</t>
  </si>
  <si>
    <t>Tecon Santa Clara</t>
  </si>
  <si>
    <r>
      <t xml:space="preserve">Realizar alinhamento da grade semanal de Barcaças .
</t>
    </r>
    <r>
      <rPr>
        <b/>
        <u/>
        <sz val="10"/>
        <color rgb="FFC00000"/>
        <rFont val="JBS Display"/>
        <family val="2"/>
      </rPr>
      <t xml:space="preserve">Saídas Tecon Santa Clara - Triunfo
</t>
    </r>
    <r>
      <rPr>
        <sz val="10"/>
        <color rgb="FF000000"/>
        <rFont val="JBS Display"/>
        <family val="2"/>
      </rPr>
      <t xml:space="preserve">•	Segunda-feira: Deadline de carga a partir de quinta-feira meio dia;
•	Terça-feira: Deadline de carga a partir de sexta-feira meio dia;
•	Sexta-feira: Deadline de carga a partir de segunda-feira meio dia;
</t>
    </r>
    <r>
      <rPr>
        <b/>
        <u/>
        <sz val="10"/>
        <color rgb="FFC00000"/>
        <rFont val="JBS Display"/>
        <family val="2"/>
      </rPr>
      <t xml:space="preserve">Saídas Tecon Rio Grande
</t>
    </r>
    <r>
      <rPr>
        <sz val="10"/>
        <color rgb="FF000000"/>
        <rFont val="JBS Display"/>
        <family val="2"/>
      </rPr>
      <t>•	Quarta-feira: Descarrega os vazios no Tecon Santa Clara ao decorrer da sexta-feira;
•	Quinta-feira: Descarrega os vazios no Tecon Santa Clara ao decorrer da segunda-feira, pois não temos operação nos finais de semana;
•	Domingo: Descarrega os vazios no Tecon Santa Clara ao decorrer da terça-feira;</t>
    </r>
  </si>
  <si>
    <t>Lucielen</t>
  </si>
  <si>
    <t>Operação Seara</t>
  </si>
  <si>
    <t>Alinhamento para inicialmente programar 10 container por Barcaça , totalizando 30 containers na semana , para os Dry forçar inclusão para as cargas que são do RS , pois não necessidade de plugarem no terminal e na Barcaça</t>
  </si>
  <si>
    <t>Scherer</t>
  </si>
  <si>
    <t>Iniciar as programações na 28 , de 06 à 10/07</t>
  </si>
  <si>
    <t>Garantir envio diário do relatório de patiamento de vazios do Tecon Santa Clara</t>
  </si>
  <si>
    <t>10/07 - solicitar envio para Miriã
Após início das operações garantir gestão diária</t>
  </si>
  <si>
    <t xml:space="preserve">Garantir envio diário do relatório de patiamento dos cheio do Tecon Santa Clara </t>
  </si>
  <si>
    <t xml:space="preserve">Iniciar planejamento de vazios do Tecon Rio Grande para Tecon Santa Clara , alinhar armadores ,  depot </t>
  </si>
  <si>
    <t>Victor Muller</t>
  </si>
  <si>
    <t>Iniciar programação de coleta de vazios no Tecon Santa Clara com base na demanda diária de baixas de cheio no terminal</t>
  </si>
  <si>
    <t>Marcos Mattos</t>
  </si>
  <si>
    <t>Incluir programação do Tecon Santa Clara igual as demais plantas da regional</t>
  </si>
  <si>
    <t xml:space="preserve">Envio diário do painel de gestão do projeto Barcaça , incluindo ganhos apresentados. </t>
  </si>
  <si>
    <t>Ivo Soares</t>
  </si>
  <si>
    <t>Após estabilização incluir na gestão da área de transporte ME</t>
  </si>
  <si>
    <t>Realizar cadastro de Tarifas das respectivas modalidades do projeto :
 - Fretes planta x Tecon Santa Clara;
 - Frete Tecon Santa Clara x Rio Grande</t>
  </si>
  <si>
    <t>Alinhar com o Marcio para cadastrar tarifas das demais unidades</t>
  </si>
  <si>
    <t>Realizar renegociação das tarifas de frete planta x Tecon Santa Clara  , conforme demanda enviada pelo Garcia  . Ajustar oportunidades identificadas no projeto</t>
  </si>
  <si>
    <t>Marcio Camargo</t>
  </si>
  <si>
    <t>Avaliar demanda de automatização do frete Hidroviário , fazer Cte próprio afim de eliminar provisão automática</t>
  </si>
  <si>
    <t>Levantar tema e avaliar oportunidades , apresentar opções</t>
  </si>
  <si>
    <t>Realizar Treinamento com as equipes do CD Montenegro , referente ao planejamento  , priorização das cargas que serão direcionadas para Barcaça</t>
  </si>
  <si>
    <t>Entregar carta conforto para Wilson Sons  , afim de isentar a cobrança de Advalorem da operação da Barcaça</t>
  </si>
  <si>
    <t>Bruno Mendes</t>
  </si>
  <si>
    <t>Envio do link referente a integração de segurança que deverá ser realizada pelos motoristas . Scherer alinhar internamente com Diogo da TRS para que faça o treinamento com todos</t>
  </si>
  <si>
    <t>Junior Scherer</t>
  </si>
  <si>
    <t>Enviar para Roshild</t>
  </si>
  <si>
    <t>Realizar treinamento da Regional RS referente ao gestão dos Gate in e planejamento do dia a dia junto a planta</t>
  </si>
  <si>
    <t>Envio da relação dos CNPJ's das unidades envolvidas no projeto , para cadastro no Tecon Santa Clara</t>
  </si>
  <si>
    <t>Definir Grade de embarques no Tecon Santa Clara , com base nos deadline e escala das Barcaças</t>
  </si>
  <si>
    <t>Alinhamento junto ao área de Controles Logísticos , referente aos lançamentos e pagamentos das viagens realizadas via Barcaça</t>
  </si>
  <si>
    <t>Luiz Garcia</t>
  </si>
  <si>
    <t>Alinhamento com Osvaldo e Camila</t>
  </si>
  <si>
    <t>Criar fluxo de adição de novos volumes na Barcaça , sendo relevante após a estabilização da operação</t>
  </si>
  <si>
    <t>Equipe da controladoria do HUB irá emitir</t>
  </si>
  <si>
    <t>Geral</t>
  </si>
  <si>
    <t>Fechamento de Junho</t>
  </si>
  <si>
    <t>Saldo De Horas</t>
  </si>
  <si>
    <t>criar mascara pro container na tela de base_armador</t>
  </si>
  <si>
    <t>Matheus Bruzaca</t>
  </si>
  <si>
    <t>crud projeto - cavalo e prancha</t>
  </si>
  <si>
    <t>análise rotina que recupera o cod_viagem</t>
  </si>
  <si>
    <t>correção rotina que recupera o cod_viagem</t>
  </si>
  <si>
    <t>análise prc_gera_slt_ctn_vaz_sem_oc</t>
  </si>
  <si>
    <t xml:space="preserve">execução retroativa das viagens antigas </t>
  </si>
  <si>
    <t>Adicionar campo de "Situação" na tela de edição</t>
  </si>
  <si>
    <t>liberar tela de disponibilidade V2 pro pro</t>
  </si>
  <si>
    <t>ajustar salvamento disponibilidade disp V2 para recarregar a lista</t>
  </si>
  <si>
    <t>Criar mascara pro container na tela de base_armador</t>
  </si>
  <si>
    <t>mudar PK para o container e data retirada, para quando subir uma vez, inserir ou atualizar</t>
  </si>
  <si>
    <t>exibir se está fora da máscara ou padrão</t>
  </si>
  <si>
    <t>preparar rotina para puxar dados</t>
  </si>
  <si>
    <t>Inclusão de loop e temporizador na apresentação</t>
  </si>
  <si>
    <t>Fabio Borges</t>
  </si>
  <si>
    <t>Fechamento de Julho</t>
  </si>
  <si>
    <t>quando existir informação na base_armador, puxar as informações (cruzando cd_container) com data de retirada maior, e exibir as informacoes (coleta-retirada,armador,tipo_ctn) da base_armador  no PATEAMENTO e na listagem do Pateamento que vai para o Mobile</t>
  </si>
  <si>
    <t>Tela de Disponibilidade de placas</t>
  </si>
  <si>
    <t>Tela de cadastro de placas (prancha/cavalo)</t>
  </si>
  <si>
    <t>Criar tela de definição do projeto (cavalos e pranchas)</t>
  </si>
  <si>
    <t>Com OC</t>
  </si>
  <si>
    <t>Destacar linha na tela de programação com OC</t>
  </si>
  <si>
    <t>Incluir coluna com quantidade</t>
  </si>
  <si>
    <t>Criar contador de atendimento da OC</t>
  </si>
  <si>
    <t>Mapa</t>
  </si>
  <si>
    <t>ajuste monitoramento ( Mapa) e melhorar grid</t>
  </si>
  <si>
    <t>Adicionar histórico de alteração da data prev. da OC</t>
  </si>
  <si>
    <t>Criar Justificativa de Não Programação</t>
  </si>
  <si>
    <t>Todas</t>
  </si>
  <si>
    <t>Analisar integração de Hiperlink do" em transito " para o mapa de monitoramento</t>
  </si>
  <si>
    <t>Gestão de Pátio</t>
  </si>
  <si>
    <t>Devolução de Container ( MalFunction)</t>
  </si>
  <si>
    <t>Criar Opção de alterar o numero do Container da viagem</t>
  </si>
  <si>
    <t>Criar tela para inserção de container na gestão de pátio (HUB e FILIAL)</t>
  </si>
  <si>
    <t>Integração SRP</t>
  </si>
  <si>
    <t>Atualizar novo campos CCME8200</t>
  </si>
  <si>
    <t>Checar container API do HUB</t>
  </si>
  <si>
    <t>Desenvolver processo de gestão de detention</t>
  </si>
  <si>
    <t xml:space="preserve">Desenvolver processo de devolução Container ( criar id devolução no sem OC) </t>
  </si>
  <si>
    <t>Gestão Projeto</t>
  </si>
  <si>
    <t>Query Aderencia Projeto</t>
  </si>
  <si>
    <t>Criar processo para atribuir / vincular container OC ( Por filial, OC e Armador)</t>
  </si>
  <si>
    <t>Disponibilidade</t>
  </si>
  <si>
    <t>Verificar por que  saldo do cancelamento pelo programador não retorna para o disponibilidade</t>
  </si>
  <si>
    <t>Sem OC</t>
  </si>
  <si>
    <t>SEM OC- Não está retornand o saldo quando a viagem é reprovada</t>
  </si>
  <si>
    <t>Criar mais duas colunas de anotações na gestão de pátio com permissão de edição.</t>
  </si>
  <si>
    <t>APP</t>
  </si>
  <si>
    <t xml:space="preserve">Incluir uma biblioteca para leitura de fotos do container e preenchimento automático do campo correspondente </t>
  </si>
  <si>
    <t>Homologar atualização do IOS</t>
  </si>
  <si>
    <t>Administração</t>
  </si>
  <si>
    <t>Criar tela com a TIME LINE do container</t>
  </si>
  <si>
    <t>Tração</t>
  </si>
  <si>
    <t>Incluiri coluna com o DCPOA nas trações</t>
  </si>
  <si>
    <t>Gravar o numero da solicitação gerada na tabela histórico</t>
  </si>
  <si>
    <t>Criar DashBoard Pátio ( Query)</t>
  </si>
  <si>
    <t>CANCELADO</t>
  </si>
  <si>
    <t xml:space="preserve">Atribuir endereço na planilha exportada com as LAT/LONG do monitoramento  (reverse geocoding) </t>
  </si>
  <si>
    <t>Criar função para reprogramar OC (liberar p/ usuários admin e programador).</t>
  </si>
  <si>
    <t>liberar botão para atribuir motorista e placa p/ o usuário do pátio</t>
  </si>
  <si>
    <t>Criar ID motorista de BITREM p/ permitir que inicio de duas viagens simultaneamente (4 horas)</t>
  </si>
  <si>
    <t>Desenvolver método para importar XML e PDF da NFI.</t>
  </si>
  <si>
    <t>Planejamento</t>
  </si>
  <si>
    <t>Escrever Especificação Funcional</t>
  </si>
  <si>
    <t xml:space="preserve">Validar  EF </t>
  </si>
  <si>
    <t>Desenvolvimento</t>
  </si>
  <si>
    <t xml:space="preserve">Ajuste na tela CCME6500 – Dt Prev. Prog Coleta </t>
  </si>
  <si>
    <t>Luciano TI</t>
  </si>
  <si>
    <t>Ajuste na tela CCME1421 –Dt Carregamento = Dt planner Ajustada  = Faturamento</t>
  </si>
  <si>
    <t>Ajuste na tela CCME1402 – Dt Planner</t>
  </si>
  <si>
    <t>Criar de Parâmetros de Programação</t>
  </si>
  <si>
    <t>Controles</t>
  </si>
  <si>
    <t>Realizar Homologação com controle operacioanis e customer service</t>
  </si>
  <si>
    <t>Bruno Furtado</t>
  </si>
  <si>
    <t>realizar reunião com as gerencias para elaborar o plano de comunicação</t>
  </si>
  <si>
    <t>Realizar reunião com todas UP para alinhamento e implantação</t>
  </si>
  <si>
    <t>Rafael Morais</t>
  </si>
  <si>
    <t>Definir e cadastrar LEADTIME por unidade;</t>
  </si>
  <si>
    <t>Customer Service</t>
  </si>
  <si>
    <t>Definir limite  para antecipar e postergar carga.</t>
  </si>
  <si>
    <t>Junior Brustolin</t>
  </si>
  <si>
    <t>Definir data de implantação</t>
  </si>
  <si>
    <t>Cadastrar Fornecedor</t>
  </si>
  <si>
    <t>Cadastrar Placas</t>
  </si>
  <si>
    <t>Realizar Call com o time de Montenegro para acompanhar os primeiros faturamento</t>
  </si>
  <si>
    <t>Abrir chamado para controles operacionais corrigir o processo de geração de viagens via tela 2668/3375.</t>
  </si>
  <si>
    <t xml:space="preserve">Chamado Aberto </t>
  </si>
  <si>
    <t>Criar Booking para o Tecon Santa Clara</t>
  </si>
  <si>
    <t>Transporte ME</t>
  </si>
  <si>
    <t>Definir número de veículos necessários  ou
Estabelecer a quantidade ideal de ônibus e demais veículos para atender à demanda prevista.</t>
  </si>
  <si>
    <t>Alessandro Arndt</t>
  </si>
  <si>
    <t>Efetuar a Locação de 4 Veiculos Com check in 05 e check out dia 8</t>
  </si>
  <si>
    <t>Realizar cotação de ônibus  
Solicitar orçamentos junto a fornecedores e comparar condições de preço, prazo e qualidade.</t>
  </si>
  <si>
    <t xml:space="preserve">Não é viável </t>
  </si>
  <si>
    <t>Montar Apresentação com Grande Numeros e Primissas</t>
  </si>
  <si>
    <t>Elaborar material de projeto para apresentação no ROADLOG 
Produzir documentos e recursos visuais (slides, gráficos, tabelas) que detalhem:
Conceito;Objetivo e Relação de Projetos ME</t>
  </si>
  <si>
    <t>Solicitar ajuste do CHECK OUT hotel para 08.</t>
  </si>
  <si>
    <t>Gráfico</t>
  </si>
  <si>
    <t>Criar Grafico combinado</t>
  </si>
  <si>
    <t>Crud</t>
  </si>
  <si>
    <t>Recurso de leitura automática de e-mail para a base do CRUD</t>
  </si>
  <si>
    <t>Idem ação 187</t>
  </si>
  <si>
    <t>Agendamento</t>
  </si>
  <si>
    <t>Escrever EF para elaboração de Agendamento no</t>
  </si>
  <si>
    <t>Criar grafico pareto</t>
  </si>
  <si>
    <t>31-jul</t>
  </si>
  <si>
    <t>14-jul</t>
  </si>
  <si>
    <t>Erros</t>
  </si>
  <si>
    <t>Ajustar importação via email com erro devido tamanho</t>
  </si>
  <si>
    <t>jul-26</t>
  </si>
  <si>
    <t>Enviar Proposta para criação do Robôs p/ agendamento nos portos</t>
  </si>
  <si>
    <t>Ajuste Fonte do Gráfico de Barras</t>
  </si>
  <si>
    <t>Ajuste Dimensões dos eixos do Gráfico de Barras</t>
  </si>
  <si>
    <t>Permitir ajustar rotulos de dados</t>
  </si>
  <si>
    <t>Erro ao finalizar viagem Com OC e Tração</t>
  </si>
  <si>
    <t>Ajustar Filtros dos Gráficos de Barras</t>
  </si>
  <si>
    <t>Elaborar proposta para adequação/atualização do APP</t>
  </si>
  <si>
    <t>Web</t>
  </si>
  <si>
    <t>Ajustar Rotina de Reenvio de senha por email</t>
  </si>
  <si>
    <t>API</t>
  </si>
  <si>
    <t>Revisar API da TRS p/ integração com a Martini</t>
  </si>
  <si>
    <t>Adicionar rotulos nos gráficos empilhados.</t>
  </si>
  <si>
    <t>Filtro de Datas não está contando corretamente</t>
  </si>
  <si>
    <t>Detention</t>
  </si>
  <si>
    <t>Resgatar informação base_armador PARTE 1</t>
  </si>
  <si>
    <t>Resgatar informação base_armador PARTE 2</t>
  </si>
  <si>
    <t>API EVO</t>
  </si>
  <si>
    <t>Reunião / Estruturação API EVO (2.5)</t>
  </si>
  <si>
    <t>Criação API EVO PARTE 1 - autenticação e criação das tabelas internas (5.0)</t>
  </si>
  <si>
    <t>criação API EVO PARTE 2 - importação de placas e referenciamento interno (5.0)</t>
  </si>
  <si>
    <t>Criação API EVO PARTE 3 - importação de última lat/lon por placa (5.0)</t>
  </si>
  <si>
    <t>Criação API EVO PARTE 4 - importação de última lat/lon por placa (4.0)</t>
  </si>
  <si>
    <t>Criação API EVO PARTE 5 - criação de serviço automático paralelo ao programa principal a cada 10 min (4.0)</t>
  </si>
  <si>
    <t>Inclusão de novo filtro nos widgets</t>
  </si>
  <si>
    <t>Fechamento de Agosto</t>
  </si>
  <si>
    <t>Agendar Reunião com a mobiletec</t>
  </si>
  <si>
    <t>Seara</t>
  </si>
  <si>
    <t>API TCP PARANAGUÁ</t>
  </si>
  <si>
    <t>Listar Janelas Disponiveis</t>
  </si>
  <si>
    <t>API TCP</t>
  </si>
  <si>
    <t>Realizar Agendamento</t>
  </si>
  <si>
    <t>Receber lista de agendamentos realizados por periodo</t>
  </si>
  <si>
    <t>receber dados detalhados de um agendamento</t>
  </si>
  <si>
    <t>Cancelar Agendamento</t>
  </si>
  <si>
    <t>Atualizar Agendamentos</t>
  </si>
  <si>
    <t>É necessário verificar também a questão dos limites aplicados aos gráficos de barras. Atualmente, o sistema está realizando o corte apenas na ordem crescente, ou seja, remove os primeiros valores. No entanto, quando a ordenação é decrescente, o comportamento esperado seria limitar aos dez últimos elementos, garantindo consistência no tratamento dos dados em ambas as direções.
Além disso, seria interessante: Definir explicitamente se o limite deve ser aplicado antes ou depois da ordenação.
Garantir que o critério de corte seja parametrizável (por exemplo, permitir escolher “top N” ou “bottom N”).</t>
  </si>
  <si>
    <t>API ITAPOA</t>
  </si>
  <si>
    <t>API PORTONAVE</t>
  </si>
  <si>
    <t>API DPW SANTOS</t>
  </si>
  <si>
    <t>API TECON RIO GRANDE</t>
  </si>
  <si>
    <t xml:space="preserve">API  JBST </t>
  </si>
  <si>
    <t>API  IMBITUBA</t>
  </si>
  <si>
    <t>API  SALVADOR</t>
  </si>
  <si>
    <t>API BTP SANTOS</t>
  </si>
  <si>
    <t>Erro ao adicionar apresentação com múltiplas cenas:  O sistema não está exibindo todos os slides conforme o tempo de duração configurado.
Exemplo:  No Wall Teste existem 3 cenas:
Apresentação ME – duração de 344 segundos
NOMEADAS – duração de 120 segundos
CARGAS NOMEADAS &amp; PENDENTES – duração de 120 segundos
Apesar da configuração, os slides não são apresentados integralmente dentro dos tempos definidos.</t>
  </si>
  <si>
    <t>o filtro por filial ou regional não está funcioando no wall</t>
  </si>
  <si>
    <t>Gostaria de realizar ajustes que envolvem tanto a parte visual quanto a usabilidade na tabela do WallDash, incluindo:
Ajuste das dimensões das colunas, para melhor aproveitamento do espaço e legibilidade.
Alteração das cores dos títulos e linhas, visando maior contraste e organização visual.
Ajuste da fonte (tipo, tamanho e peso), para garantir melhor leitura e padronização.
Possibilidade de personalização adicional em elementos da tabela, como espaçamento entre linhas e estilo dos cabeçalhos.</t>
  </si>
  <si>
    <t>incluir uma funcionalidade de configuração de colunas, semelhante ao recurso disponível em tabelas dinâmicas do Excel. Essa melhoria permitiria transpor a tabela e visualizar os dados agrupados por filial, organizados em categorias como cheio, vazio e total</t>
  </si>
  <si>
    <t>Demandas</t>
  </si>
  <si>
    <t>Criar Video Mostrando os dashboard</t>
  </si>
  <si>
    <t>Crair query para gestão do detention do TBN</t>
  </si>
  <si>
    <t>Criar Rancking da gestão de pátio por Recional</t>
  </si>
  <si>
    <t>Número autorizado para alteração da data no Planner</t>
  </si>
  <si>
    <t>10-jul</t>
  </si>
  <si>
    <t>Realizar reunião com diretoria para alinahmento</t>
  </si>
  <si>
    <r>
      <t xml:space="preserve">adicionar os operadores </t>
    </r>
    <r>
      <rPr>
        <b/>
        <sz val="12"/>
        <color theme="1"/>
        <rFont val="Segoe UI"/>
        <family val="2"/>
      </rPr>
      <t>"não é"</t>
    </r>
    <r>
      <rPr>
        <sz val="12"/>
        <color theme="1"/>
        <rFont val="Segoe UI"/>
        <family val="2"/>
      </rPr>
      <t xml:space="preserve"> ou </t>
    </r>
    <r>
      <rPr>
        <b/>
        <sz val="12"/>
        <color theme="1"/>
        <rFont val="Segoe UI"/>
        <family val="2"/>
      </rPr>
      <t>"não contém"</t>
    </r>
    <r>
      <rPr>
        <sz val="12"/>
        <color theme="1"/>
        <rFont val="Segoe UI"/>
        <family val="2"/>
      </rPr>
      <t>.</t>
    </r>
  </si>
  <si>
    <t>Desenvolver a view para gestão de pátio dos módulos existentes</t>
  </si>
  <si>
    <t>Criar módulo de importação de dados via e-mail no CRUD, permitindo automatizar e criar dash no WALLDASH.</t>
  </si>
  <si>
    <t>+5 de incremento em cada barcaça</t>
  </si>
  <si>
    <t>Inclusão de mais armadores</t>
  </si>
  <si>
    <t>Desenvolver Query para o time de pagamento gerenciar os Ctes Pendentes</t>
  </si>
  <si>
    <t>IA</t>
  </si>
  <si>
    <t>Criar IA para acompanhamento das viagens ME</t>
  </si>
  <si>
    <r>
      <t xml:space="preserve">a OC </t>
    </r>
    <r>
      <rPr>
        <b/>
        <sz val="11"/>
        <color theme="1"/>
        <rFont val="Aptos Narrow"/>
        <family val="2"/>
        <scheme val="minor"/>
      </rPr>
      <t>1138720</t>
    </r>
    <r>
      <rPr>
        <sz val="11"/>
        <color theme="1"/>
        <rFont val="Aptos Narrow"/>
        <family val="2"/>
        <scheme val="minor"/>
      </rPr>
      <t xml:space="preserve"> ficou pendente de aprovação (o que não deveria acontecer) e acabou sendo reprovada. O problema é que ela não retorna para programação.</t>
    </r>
  </si>
  <si>
    <t>Engenharia</t>
  </si>
  <si>
    <t>Realizar Estudo</t>
  </si>
  <si>
    <t>Orçamentos</t>
  </si>
  <si>
    <t>Pedro Neto</t>
  </si>
  <si>
    <t>Aprovar demanda</t>
  </si>
  <si>
    <t>Precisa ser feita permuta da demanda 121079.</t>
  </si>
  <si>
    <t>Cadastrar Demanda</t>
  </si>
  <si>
    <t>121079/145881</t>
  </si>
  <si>
    <t>Reforma Salas do Terminal e Copa</t>
  </si>
  <si>
    <t>Aprovação Técnica</t>
  </si>
  <si>
    <t>Instalação do Sistema CFTV Terminal e sala de transporte</t>
  </si>
  <si>
    <t>Solicitar aprovação Corporativo</t>
  </si>
  <si>
    <t>WYMS - ADICIONAR/ATUALIZAR CNPJ DA FILIAL DA NEWCO NA FILIAL DE BEBEDOURO</t>
  </si>
  <si>
    <t>N/A</t>
  </si>
  <si>
    <t>WYMS - ATUALIZAR CNPJ RESPONSÁVEL PELO PRODUTO</t>
  </si>
  <si>
    <t>Filial -39-323- Cadastrar Rota Container</t>
  </si>
  <si>
    <t>Filial -39-323- Cancelar os SPEs pendentes e recolocar como SEARA COMERCIO após a implantação.</t>
  </si>
  <si>
    <t>Filial --39-323- Checar Jobs de Integração com o Wyms</t>
  </si>
  <si>
    <t>Filial -39-323- LCCT1035-Checar se o JOB de integração do WYMS com SRP esta cadastrado e rodando para filial 356</t>
  </si>
  <si>
    <t>Filial -39-323  SNAC0116  - Parametrizar como FOB a nova filial</t>
  </si>
  <si>
    <t>Filial -39-323- LSPE2020 - Parâmetro Pedidos Abastecimentos</t>
  </si>
  <si>
    <t>Filial -39-323- LSPE3003 - Cadastrar lead time;</t>
  </si>
  <si>
    <t>Pendente LP</t>
  </si>
  <si>
    <t>Filial -39-323- LSPE5005 - Parâmetro Abastecimentos Troca de Nota Fiscal</t>
  </si>
  <si>
    <t>Filial -39-323- LTCC0015 - Prm filial Controel Ravex</t>
  </si>
  <si>
    <t>Filial -39-323- LTCC1107 - Cadastrar Distâncias;</t>
  </si>
  <si>
    <t>Filial -39-323- LTCC1365-  Associar Clientes nas Rotas;</t>
  </si>
  <si>
    <t>Filial -39-323- LTCC1650 – Cadastrar Grade de Cliente;</t>
  </si>
  <si>
    <t>Filial -39-323- LTCC1651 – Manter grupo de roteirização;</t>
  </si>
  <si>
    <t>Filial -39-323- LTCC2512 - Cadastrar Tarifas Distribuição;</t>
  </si>
  <si>
    <t>Filial -39-323- LTRT0002 - Manter Cliente Roteirizador</t>
  </si>
  <si>
    <t>Filial -39-323- LTCC1600 - Manter Grade da Rota;</t>
  </si>
  <si>
    <t>Filial -39-323- ROADNET -Importar e Geocodificar;</t>
  </si>
  <si>
    <t>Filial -39-323- Parametrizar o LPLT para replicar o acesso dos usuários da SEARA na nova empresa</t>
  </si>
  <si>
    <t>Filial -39-323- LTCC2512 - Cadastrar tarifas Longo Percurso;</t>
  </si>
  <si>
    <t>Filial -39-323- LTRT0004 - Parâmetro filial roteirização</t>
  </si>
  <si>
    <t>Filial -39-323- LTRT0046 - Manter Filiais SEP Pedidos</t>
  </si>
  <si>
    <t>Filial -39-323- ROADNET -Criar Nova Filial;</t>
  </si>
  <si>
    <t>Filial -39-323- ROADNET -Vincular usuários na nova filial ;</t>
  </si>
  <si>
    <t>Filial -39-323- LTCC1307 – Cadastrar Rotas;</t>
  </si>
  <si>
    <t>pendente filial 323</t>
  </si>
  <si>
    <t>Filial - 39 - 323 - Grade de Aprovação Complementos</t>
  </si>
  <si>
    <t>Será realizado na implatação</t>
  </si>
  <si>
    <t>Filial - 39 - 323 - CAPG0495 -  MANTER PEDIDO GRADE DE  ESPECIAL  (CAPG0491-AVALIAR PEDIDO ESPECIAL ( operador, transportador, deteriorados, vencidos e etc) )</t>
  </si>
  <si>
    <t xml:space="preserve">Filial -39-323- Ravex criar ID da unidade para Configurações </t>
  </si>
  <si>
    <t>Filial -39-323- LTCC1182 - Manter faixa de quilometragem;</t>
  </si>
  <si>
    <t>Filial --39-323- Criar Saldo de Pallet</t>
  </si>
  <si>
    <t>Filial -39-323- Crair pasta no diretório: C0090\usr_ltrt</t>
  </si>
  <si>
    <t>Cadastra Lat/long da filial (LTCC1103)</t>
  </si>
  <si>
    <t>Cadastrar Observação de Transporte (LTCC1127)</t>
  </si>
  <si>
    <t>Filial -39-323- SNAC0116  - Parametrizar como FOB a nova filial;</t>
  </si>
  <si>
    <t>teste</t>
  </si>
  <si>
    <t xml:space="preserve">Replicar cadastrar de clientes </t>
  </si>
  <si>
    <t>Cadastrar Demanda SGP</t>
  </si>
  <si>
    <t>ENGENHARIA</t>
  </si>
  <si>
    <t>Compra e entrega dos equipamentos (2 Ar Condicionado 18mil BTUS</t>
  </si>
  <si>
    <t xml:space="preserve">Montagem e Instalação </t>
  </si>
  <si>
    <t>Lançamento nota fiscal</t>
  </si>
  <si>
    <t>Disponibilizar tablets para 100% dos operadores, visando agilizar o processo de endereçamento de contêineres no terminal. Implementar gestão centralizada por meio da torre de controle do terminal e transporte.</t>
  </si>
  <si>
    <t>TRS / JBS</t>
  </si>
  <si>
    <t>NUPORANGA</t>
  </si>
  <si>
    <t>BRASÍLIA + BRAZLÂNDIA</t>
  </si>
  <si>
    <t>ITAIOPOLIS</t>
  </si>
  <si>
    <t>FORQUILHINHA</t>
  </si>
  <si>
    <t>MONTENEGRO</t>
  </si>
  <si>
    <t>GARIBALDI</t>
  </si>
  <si>
    <t>CAXIAS DO SUL</t>
  </si>
  <si>
    <t>ANA RECH</t>
  </si>
  <si>
    <t>FRONTEIRA SUL</t>
  </si>
  <si>
    <t>EMERGENT COLD</t>
  </si>
  <si>
    <t>HXLOG</t>
  </si>
  <si>
    <t>MDX</t>
  </si>
  <si>
    <t>MAFRO</t>
  </si>
  <si>
    <t>AF LOOSE</t>
  </si>
  <si>
    <t>BAGGIO</t>
  </si>
  <si>
    <t>BGE</t>
  </si>
  <si>
    <t>CECCATO</t>
  </si>
  <si>
    <t>COOTRASUL</t>
  </si>
  <si>
    <t>GIARETTA</t>
  </si>
  <si>
    <t>GW</t>
  </si>
  <si>
    <t>KOIA</t>
  </si>
  <si>
    <t>LUCIMAR</t>
  </si>
  <si>
    <t xml:space="preserve">RH </t>
  </si>
  <si>
    <t>ROSCHILDT</t>
  </si>
  <si>
    <t>TOMAZI</t>
  </si>
  <si>
    <t>TRANSLEVO</t>
  </si>
  <si>
    <t xml:space="preserve">Realizar reunião com a controladoria </t>
  </si>
  <si>
    <t>Definir quais notas fiscais deve ser associadas ao frete</t>
  </si>
  <si>
    <t>Escrever EF</t>
  </si>
  <si>
    <t>Validar EF com o time da TI</t>
  </si>
  <si>
    <t>Priorizar desenvolvimento</t>
  </si>
  <si>
    <t>Realizar Desenvolvimento</t>
  </si>
  <si>
    <t>Carlos Silva</t>
  </si>
  <si>
    <t xml:space="preserve">Acompanhar processo de pagamento </t>
  </si>
  <si>
    <t>Descrever especificação funcional</t>
  </si>
  <si>
    <t xml:space="preserve">TI </t>
  </si>
  <si>
    <t>Atender chamado referente ao GAP</t>
  </si>
  <si>
    <t>Script - Criar ID_BALSA na LTCC1107 e LTCC1190</t>
  </si>
  <si>
    <t>LTCC1107 - RN01. Adicionar um checkbox (ID_BALSA) à tela LTCC1107</t>
  </si>
  <si>
    <t>LTCC1190 - RN01. Adicionar um checkbox (ID_BALSA) à tela LTCC1107</t>
  </si>
  <si>
    <t>Script - RN03. Criar o campo do Vl_Balsa na tela LTCC2512 (Aba. LP)</t>
  </si>
  <si>
    <t>LTCC2512 - RN03. Criar o campo do Vl_Balsa na tela LTCC2512 (Aba. LP)</t>
  </si>
  <si>
    <t>LTCC2512 - RN04. Se o campo ID BALSA estiver ativo na distância informada no cadastro, não deve ser permitido o registro sem o valor Vl_BALSA, caso contrário, o valor Vl_BALSA deve ser nulo</t>
  </si>
  <si>
    <t>LTCC5008 - Incluir campo Vl_BALSA na tela LTCC5008</t>
  </si>
  <si>
    <t>LTCC2504 - RN07. Incluir campo Vl_BALSA na tela LTCC2504</t>
  </si>
  <si>
    <t>LTCC2240 - RN08. Incluir campo Vl_BALSA na Aprovação por e-mail</t>
  </si>
  <si>
    <t>LTCC2510 - Com a criação Vl_Balsa na tabela deve ajustar o processo de importação de tarifa em massa realizados através das telas LTCC2510 e LTCC2515.</t>
  </si>
  <si>
    <t>LTCC2510 - Se o campo ID BALSA estiver ativo na distância, não deve ser permitido o registro sem o valor Vl_BALSA, caso contrário, o valor Vl_BALSA deve ser nulo.</t>
  </si>
  <si>
    <t>Script - RN010 Criar o campo do Vl_Balsa na tabela “VIAGEM_TRANSPORTE" e RN011 Criar o campo do Vl_Balsa na tabela “ITEM_CONHECIMENTO_FRETE”</t>
  </si>
  <si>
    <t>LTCC0053 - RN010 Criar o campo do Vl_Balsa na tabela “VIAGEM_TRANSPORTE"</t>
  </si>
  <si>
    <t>LTCC3107 - RN011 Criar o campo do Vl_Balsa na tabela “ITEM_CONHECIMENTO_FRETE”</t>
  </si>
  <si>
    <t>LTCC3136 - RN012. O sistema deve registrar o valor da Balsa ao emitir um frete para uma distância identificada com o ID_Balsa e gravar (Semelhante processo de óleo retorno) vl Balsa na tela LTCC5001</t>
  </si>
  <si>
    <t>LTCC5001 - RN012. O sistema deve registrar o valor da Balsa ao emitir um frete para uma distância identificada com o ID_Balsa e gravar (Semelhante processo de óleo retorno) vl Balsa na tela LTCC5001</t>
  </si>
  <si>
    <t>LTCC5002 - RN013. O sistema deve dividir o valor da Balsa por Cte, registrando na tabela CONHECIMENTO_FRETE (Parecido com o processo de retorno de óleo) e na tela LTCC5002, como mostrado no print. A divisão deve ser feita na ITEM_CONHECIMENTO_FRETE.</t>
  </si>
  <si>
    <t>LTCC5002 - RN014. O valor da balsa deve ser somado ao total dos serviços.</t>
  </si>
  <si>
    <t>LTCC1233 - RN015. Como realizar a atualização do campo ID_BALSA na Origem/destino?</t>
  </si>
  <si>
    <t>LTCC1233 -  Habilitar através da importação em massa com base no layout da tela LTCC1233, mas passando apenas os parâmetros de distância e o ID_BALSA (1 para ativar e 0 para inativar).</t>
  </si>
  <si>
    <t>Teste - Teste Técnico</t>
  </si>
  <si>
    <t>Incluir campo vl balsana tela LTCC2524</t>
  </si>
  <si>
    <t>Incluir campo Vl Balsa na tela LTCC5008</t>
  </si>
  <si>
    <t xml:space="preserve">LTCC1107 - Cadastro de distancia Sem o indicador </t>
  </si>
  <si>
    <t xml:space="preserve">LTCC1107 - Cadastro de distancia Com o indicador </t>
  </si>
  <si>
    <t>LTCC1107 - Cadastro de distancia com outra forma de KM</t>
  </si>
  <si>
    <t xml:space="preserve">BCTG0620 - Realizar aprovação do cadastros </t>
  </si>
  <si>
    <t xml:space="preserve">LTCC1233 - Cadastro de distancia em massa Sem o indicador </t>
  </si>
  <si>
    <t xml:space="preserve">LTCC1233 - Cadastro de distancia em massa Com o indicador </t>
  </si>
  <si>
    <t>LTCC1233 - Cadastro de distancia em massa com outra forma de KM</t>
  </si>
  <si>
    <t>LTCC2512 - Cadastro de tarifa  Sem a nova distancia</t>
  </si>
  <si>
    <t>LTCC2512 - Cadastro de tarifa Com a nova Distancia</t>
  </si>
  <si>
    <t>LTCC2512 - Validar nova campo Valor</t>
  </si>
  <si>
    <t>LTCC2512 - Cadastro de tarifa com outra forma de distancia</t>
  </si>
  <si>
    <t>LTCC0009 - Cadastro tarifa com a nova Distancia</t>
  </si>
  <si>
    <t>LTCC0009 - Cadastro tarifa sem a nova Distancia</t>
  </si>
  <si>
    <t xml:space="preserve">LTCC0009 - Com vinculo </t>
  </si>
  <si>
    <t>LTCC0009 - Sem vinculo</t>
  </si>
  <si>
    <t xml:space="preserve">LTCC5008 - Validar novo campo valor em tela de consulta </t>
  </si>
  <si>
    <t xml:space="preserve">LTCC5015 - Validar novo campo Id em tela de consulta </t>
  </si>
  <si>
    <t xml:space="preserve">LTCC2504 - Validar novo campo em tela de aprovação </t>
  </si>
  <si>
    <t xml:space="preserve">LTCC2504 - Validar aprovações </t>
  </si>
  <si>
    <t>E-mail - Realizar aprovações Via E-mail com a nova Distancia</t>
  </si>
  <si>
    <t>E-mail - Realizar aprovações Via E-mail Sem a nova Distancia</t>
  </si>
  <si>
    <t>E-mail - Validar campo valor balsa na estrutura do e-mail</t>
  </si>
  <si>
    <t>LTCC2510/2515  - Validar estrutura do layout</t>
  </si>
  <si>
    <t>LTCC2510/2515  - Cadastro de tarifa Com a nova Distancia</t>
  </si>
  <si>
    <t>LTCC2510/2515  - Cadastro de tarifa  Sem a nova distancia</t>
  </si>
  <si>
    <t xml:space="preserve">LTCC5001 - Validar informação na estrutura da viagem </t>
  </si>
  <si>
    <t xml:space="preserve">LTCC5100 - Validar informação na estrutura da viagem </t>
  </si>
  <si>
    <t xml:space="preserve">LTCC5002 - Validar informação na estrutura do Conhecimento </t>
  </si>
  <si>
    <t xml:space="preserve">LTCC5003 - Validar informação na estrutura a nivel de item Conhecimento </t>
  </si>
  <si>
    <t>CtePack - Validar emissão conhecimento com o valor - Via Banco</t>
  </si>
  <si>
    <t>CtePack - Validar emissão conhecimento sem o valor - Via Banco</t>
  </si>
  <si>
    <t>CtePack - Novo campo CtePack - Via Banco</t>
  </si>
  <si>
    <t>LTCC3403 - Validar emissão conhecimento com o valor - Via API</t>
  </si>
  <si>
    <t>LTCC3500 - Validar emissão conhecimento sem o valor - Via API</t>
  </si>
  <si>
    <t>Automatico - Novo campo CtePack - Via API</t>
  </si>
  <si>
    <t>LTCC3403 - Impressão CTE</t>
  </si>
  <si>
    <t>LTCC3500 - Impressão CTE</t>
  </si>
  <si>
    <t>Automatico - Impressão CTE</t>
  </si>
  <si>
    <t>Treinar equipe</t>
  </si>
  <si>
    <t>Cadastrar Distancia Balsa</t>
  </si>
  <si>
    <t>Cadastrar Tarifa com valores da Balsa</t>
  </si>
  <si>
    <t>Validar com o fornecedores</t>
  </si>
  <si>
    <t>Validar CTe</t>
  </si>
  <si>
    <t>Criar chave do controle  “ID_BALSA”</t>
  </si>
  <si>
    <t>Validação no LTCC3136</t>
  </si>
  <si>
    <r>
      <t xml:space="preserve">Por favor, incluir na tabela de </t>
    </r>
    <r>
      <rPr>
        <b/>
        <sz val="12"/>
        <color rgb="FF000000"/>
        <rFont val="Aptos"/>
      </rPr>
      <t>tração</t>
    </r>
    <r>
      <rPr>
        <sz val="12"/>
        <color rgb="FF000000"/>
        <rFont val="Aptos"/>
      </rPr>
      <t xml:space="preserve"> uma nova coluna contendo o número do </t>
    </r>
    <r>
      <rPr>
        <b/>
        <sz val="12"/>
        <color rgb="FF000000"/>
        <rFont val="Aptos"/>
      </rPr>
      <t>DCPOA</t>
    </r>
    <r>
      <rPr>
        <sz val="12"/>
        <color rgb="FF000000"/>
        <rFont val="Aptos"/>
      </rPr>
      <t xml:space="preserve"> emitido. Utilize a mesma rotina já desenvolvida para gravar o número do DCPOA na plataforma de agendamento, porém aplicando-a </t>
    </r>
    <r>
      <rPr>
        <b/>
        <sz val="12"/>
        <color rgb="FF000000"/>
        <rFont val="Aptos"/>
      </rPr>
      <t>para todas as cargas faturadas</t>
    </r>
    <r>
      <rPr>
        <sz val="12"/>
        <color rgb="FF000000"/>
        <rFont val="Aptos"/>
      </rPr>
      <t>.</t>
    </r>
  </si>
  <si>
    <t>descrever ação para inclusão do crachá</t>
  </si>
  <si>
    <t>Plano de Ação | Projeto Barcaça Rio Grande</t>
  </si>
  <si>
    <t>QUANDO</t>
  </si>
  <si>
    <t>Alinhamento para inicialmente programar 10 container por Barcaça , totalizando 30 containers na semana , para os Dry forçar inclusão para as cargas que são do RS , pois não necessidade de plugagem no terminal e na Barcaça</t>
  </si>
  <si>
    <t>Após início das operações garantir gestão diária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</si>
</sst>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16]mmm\-yy;@"/>
    <numFmt numFmtId="165" formatCode="[$-416]d\-mmm;@"/>
  </numFmts>
  <fonts count="16">
    <font>
      <sz val="11"/>
      <color theme="1"/>
      <name val="Aptos Narrow"/>
      <family val="2"/>
      <scheme val="minor"/>
    </font>
    <font>
      <b/>
      <sz val="11"/>
      <color rgb="FFFFFFFF"/>
      <name val="JBS Display"/>
      <family val="2"/>
    </font>
    <font>
      <sz val="10"/>
      <color rgb="FF000000"/>
      <name val="JBS Display"/>
      <family val="2"/>
    </font>
    <font>
      <sz val="10"/>
      <color rgb="FFFFFFFF"/>
      <name val="JBS Display"/>
      <family val="2"/>
    </font>
    <font>
      <sz val="10"/>
      <name val="JBS Display"/>
      <family val="2"/>
    </font>
    <font>
      <b/>
      <sz val="18"/>
      <color theme="1"/>
      <name val="Aptos Narrow"/>
      <family val="2"/>
      <scheme val="minor"/>
    </font>
    <font>
      <b/>
      <u/>
      <sz val="10"/>
      <color rgb="FFC00000"/>
      <name val="JBS Display"/>
      <family val="2"/>
    </font>
    <font>
      <sz val="9"/>
      <color indexed="81"/>
      <name val="Segoe UI"/>
      <charset val="1"/>
    </font>
    <font>
      <b/>
      <sz val="9"/>
      <color indexed="81"/>
      <name val="Segoe UI"/>
      <charset val="1"/>
    </font>
    <font>
      <b/>
      <sz val="14"/>
      <color theme="1"/>
      <name val="Aptos Narrow"/>
      <family val="2"/>
      <scheme val="minor"/>
    </font>
    <font>
      <sz val="12"/>
      <color theme="1"/>
      <name val="Segoe UI"/>
      <family val="2"/>
    </font>
    <font>
      <b/>
      <sz val="12"/>
      <color theme="1"/>
      <name val="Segoe UI"/>
      <family val="2"/>
    </font>
    <font>
      <b/>
      <sz val="11"/>
      <color theme="1"/>
      <name val="Aptos Narrow"/>
      <family val="2"/>
      <scheme val="minor"/>
    </font>
    <font>
      <sz val="12"/>
      <color rgb="FF000000"/>
      <name val="Aptos"/>
    </font>
    <font>
      <b/>
      <sz val="12"/>
      <color rgb="FF000000"/>
      <name val="Aptos"/>
    </font>
    <font>
      <b/>
      <sz val="11"/>
      <color theme="1"/>
      <name val="Aptos Narrow"/>
      <scheme val="minor"/>
    </font>
  </fonts>
  <fills count="5">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2"/>
        <bgColor indexed="64"/>
      </patternFill>
    </fill>
  </fills>
  <borders count="15">
    <border>
      <left/>
      <right/>
      <top/>
      <bottom/>
      <diagonal/>
    </border>
    <border>
      <left style="thin">
        <color theme="2" tint="-9.9948118533890809E-2"/>
      </left>
      <right style="thin">
        <color theme="2" tint="-9.9948118533890809E-2"/>
      </right>
      <top style="medium">
        <color theme="1"/>
      </top>
      <bottom style="thin">
        <color theme="2" tint="-9.9948118533890809E-2"/>
      </bottom>
      <diagonal/>
    </border>
    <border>
      <left style="thin">
        <color theme="2" tint="-9.9948118533890809E-2"/>
      </left>
      <right style="medium">
        <color rgb="FFD9D9D9"/>
      </right>
      <top style="medium">
        <color theme="1"/>
      </top>
      <bottom style="thin">
        <color theme="2" tint="-9.9948118533890809E-2"/>
      </bottom>
      <diagonal/>
    </border>
    <border>
      <left style="thin">
        <color theme="2" tint="-9.9917600024414813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right/>
      <top/>
      <bottom style="medium">
        <color theme="1"/>
      </bottom>
      <diagonal/>
    </border>
    <border>
      <left/>
      <right style="thin">
        <color theme="2" tint="-9.9948118533890809E-2"/>
      </right>
      <top style="thin">
        <color theme="2" tint="-9.9948118533890809E-2"/>
      </top>
      <bottom style="thin">
        <color theme="2" tint="-9.9948118533890809E-2"/>
      </bottom>
      <diagonal/>
    </border>
    <border>
      <left/>
      <right style="thin">
        <color theme="2" tint="-9.9948118533890809E-2"/>
      </right>
      <top/>
      <bottom style="thin">
        <color theme="2" tint="-9.9948118533890809E-2"/>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medium">
        <color rgb="FFD9D9D9"/>
      </right>
      <top/>
      <bottom style="thin">
        <color theme="2" tint="-9.9948118533890809E-2"/>
      </bottom>
      <diagonal/>
    </border>
    <border>
      <left/>
      <right style="thin">
        <color theme="2" tint="-9.9948118533890809E-2"/>
      </right>
      <top style="thin">
        <color theme="2" tint="-9.9948118533890809E-2"/>
      </top>
      <bottom/>
      <diagonal/>
    </border>
    <border>
      <left style="thin">
        <color theme="2" tint="-9.9948118533890809E-2"/>
      </left>
      <right style="thin">
        <color theme="2" tint="-9.9948118533890809E-2"/>
      </right>
      <top style="thin">
        <color theme="2" tint="-9.9948118533890809E-2"/>
      </top>
      <bottom/>
      <diagonal/>
    </border>
    <border>
      <left style="thin">
        <color theme="2" tint="-9.9917600024414813E-2"/>
      </left>
      <right style="thin">
        <color theme="2" tint="-9.9948118533890809E-2"/>
      </right>
      <top style="thin">
        <color theme="2" tint="-9.9948118533890809E-2"/>
      </top>
      <bottom/>
      <diagonal/>
    </border>
    <border>
      <left style="thin">
        <color theme="2" tint="-9.9917600024414813E-2"/>
      </left>
      <right style="thin">
        <color theme="2" tint="-9.9948118533890809E-2"/>
      </right>
      <top/>
      <bottom/>
      <diagonal/>
    </border>
    <border>
      <left style="thin">
        <color theme="2" tint="-9.9948118533890809E-2"/>
      </left>
      <right style="thin">
        <color theme="2" tint="-9.9948118533890809E-2"/>
      </right>
      <top/>
      <bottom/>
      <diagonal/>
    </border>
  </borders>
  <cellStyleXfs count="1">
    <xf numFmtId="0" fontId="0" fillId="0" borderId="0"/>
  </cellStyleXfs>
  <cellXfs count="41">
    <xf numFmtId="0" fontId="0" fillId="0" borderId="0" xfId="0"/>
    <xf numFmtId="16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165" fontId="2" fillId="3" borderId="4" xfId="0" applyNumberFormat="1" applyFont="1" applyFill="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164" fontId="2" fillId="3" borderId="3" xfId="0" applyNumberFormat="1" applyFont="1" applyFill="1" applyBorder="1" applyAlignment="1">
      <alignment horizontal="center" vertical="center" wrapText="1"/>
    </xf>
    <xf numFmtId="0" fontId="2" fillId="4" borderId="3"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5" fillId="0" borderId="5" xfId="0" applyFont="1" applyBorder="1" applyAlignment="1">
      <alignment vertical="center"/>
    </xf>
    <xf numFmtId="0" fontId="2" fillId="3"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164" fontId="1" fillId="2" borderId="8" xfId="0" applyNumberFormat="1" applyFont="1" applyFill="1" applyBorder="1" applyAlignment="1">
      <alignment horizontal="center" vertical="center" wrapText="1"/>
    </xf>
    <xf numFmtId="165" fontId="1" fillId="2" borderId="8" xfId="0" applyNumberFormat="1" applyFont="1" applyFill="1" applyBorder="1" applyAlignment="1">
      <alignment horizontal="center" vertical="center" wrapText="1"/>
    </xf>
    <xf numFmtId="0" fontId="1" fillId="2"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164" fontId="2" fillId="3" borderId="12" xfId="0" applyNumberFormat="1"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3" borderId="12" xfId="0" applyFont="1" applyFill="1" applyBorder="1" applyAlignment="1">
      <alignment horizontal="center" vertical="center" wrapText="1"/>
    </xf>
    <xf numFmtId="165" fontId="2" fillId="3" borderId="11" xfId="0" applyNumberFormat="1" applyFont="1" applyFill="1" applyBorder="1" applyAlignment="1">
      <alignment horizontal="center" vertical="center" wrapText="1"/>
    </xf>
    <xf numFmtId="0" fontId="3"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0" fillId="0" borderId="0" xfId="0" pivotButton="1"/>
    <xf numFmtId="164" fontId="2" fillId="3" borderId="13" xfId="0" applyNumberFormat="1" applyFont="1" applyFill="1" applyBorder="1" applyAlignment="1">
      <alignment horizontal="center" vertical="center" wrapText="1"/>
    </xf>
    <xf numFmtId="165" fontId="2" fillId="3" borderId="14" xfId="0" applyNumberFormat="1" applyFont="1" applyFill="1" applyBorder="1" applyAlignment="1">
      <alignment horizontal="center" vertical="center" wrapText="1"/>
    </xf>
    <xf numFmtId="14" fontId="2" fillId="3" borderId="4" xfId="0" applyNumberFormat="1" applyFont="1" applyFill="1" applyBorder="1" applyAlignment="1">
      <alignment horizontal="center" vertical="center" wrapText="1"/>
    </xf>
    <xf numFmtId="0" fontId="9" fillId="0" borderId="0" xfId="0" applyFont="1" applyAlignment="1">
      <alignment vertical="top" wrapText="1"/>
    </xf>
    <xf numFmtId="9" fontId="0" fillId="0" borderId="0" xfId="0" applyNumberFormat="1" applyAlignment="1">
      <alignment vertical="center"/>
    </xf>
    <xf numFmtId="0" fontId="0" fillId="0" borderId="0" xfId="0" applyAlignment="1">
      <alignment horizontal="center"/>
    </xf>
    <xf numFmtId="0" fontId="0" fillId="0" borderId="0" xfId="0" pivotButton="1" applyAlignment="1">
      <alignment horizontal="center"/>
    </xf>
    <xf numFmtId="0" fontId="13" fillId="0" borderId="0" xfId="0" applyFont="1" applyAlignment="1">
      <alignment vertical="center"/>
    </xf>
    <xf numFmtId="0" fontId="15" fillId="0" borderId="0" xfId="0" applyFont="1" applyAlignment="1">
      <alignment vertical="center"/>
    </xf>
    <xf numFmtId="0" fontId="9" fillId="0" borderId="0" xfId="0" applyFont="1" applyAlignment="1">
      <alignment horizontal="center" vertical="top" wrapText="1"/>
    </xf>
    <xf numFmtId="0" fontId="5" fillId="0" borderId="5" xfId="0" applyFont="1" applyBorder="1" applyAlignment="1">
      <alignment horizontal="center" vertical="center"/>
    </xf>
  </cellXfs>
  <cellStyles count="1">
    <cellStyle name="Normal" xfId="0" builtinId="0"/>
  </cellStyles>
  <dxfs count="46">
    <dxf>
      <font>
        <b/>
        <i val="0"/>
        <color theme="0"/>
      </font>
      <fill>
        <patternFill>
          <bgColor rgb="FF00B050"/>
        </patternFill>
      </fill>
    </dxf>
    <dxf>
      <font>
        <b/>
        <i val="0"/>
        <color theme="0"/>
      </font>
      <fill>
        <patternFill>
          <bgColor theme="7"/>
        </patternFill>
      </fill>
    </dxf>
    <dxf>
      <font>
        <b/>
        <i val="0"/>
        <color theme="0"/>
      </font>
      <fill>
        <patternFill>
          <bgColor rgb="FFC00000"/>
        </patternFill>
      </fill>
    </dxf>
    <dxf>
      <font>
        <b/>
        <i val="0"/>
        <color theme="0"/>
      </font>
      <fill>
        <patternFill>
          <bgColor theme="4"/>
        </patternFill>
      </fill>
    </dxf>
    <dxf>
      <font>
        <b/>
        <i val="0"/>
        <color theme="0"/>
      </font>
      <fill>
        <patternFill>
          <bgColor theme="5"/>
        </patternFill>
      </fill>
    </dxf>
    <dxf>
      <font>
        <b/>
        <i val="0"/>
        <color theme="0"/>
      </font>
      <fill>
        <patternFill>
          <bgColor theme="1" tint="0.499984740745262"/>
        </patternFill>
      </fill>
    </dxf>
    <dxf>
      <font>
        <b/>
        <i val="0"/>
        <color theme="0"/>
      </font>
      <fill>
        <patternFill>
          <bgColor rgb="FF00B050"/>
        </patternFill>
      </fill>
    </dxf>
    <dxf>
      <font>
        <b/>
        <i val="0"/>
        <color theme="0"/>
      </font>
      <fill>
        <patternFill>
          <bgColor theme="7"/>
        </patternFill>
      </fill>
    </dxf>
    <dxf>
      <font>
        <b/>
        <i val="0"/>
        <color theme="0"/>
      </font>
      <fill>
        <patternFill>
          <bgColor rgb="FFC00000"/>
        </patternFill>
      </fill>
    </dxf>
    <dxf>
      <font>
        <b/>
        <i val="0"/>
        <color theme="0"/>
      </font>
      <fill>
        <patternFill>
          <bgColor theme="4"/>
        </patternFill>
      </fill>
    </dxf>
    <dxf>
      <font>
        <b/>
        <i val="0"/>
        <color theme="0"/>
      </font>
      <fill>
        <patternFill>
          <bgColor theme="5"/>
        </patternFill>
      </fill>
    </dxf>
    <dxf>
      <font>
        <b/>
        <i val="0"/>
        <color theme="0"/>
      </font>
      <fill>
        <patternFill>
          <bgColor theme="1"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0"/>
        <color auto="1"/>
        <name val="JBS Display"/>
        <family val="2"/>
        <scheme val="none"/>
      </font>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style="thin">
          <color theme="2" tint="-9.9948118533890809E-2"/>
        </top>
        <bottom/>
      </border>
    </dxf>
    <dxf>
      <font>
        <b val="0"/>
        <i val="0"/>
        <strike val="0"/>
        <condense val="0"/>
        <extend val="0"/>
        <outline val="0"/>
        <shadow val="0"/>
        <u val="none"/>
        <vertAlign val="baseline"/>
        <sz val="10"/>
        <color auto="1"/>
        <name val="JBS Display"/>
        <family val="2"/>
        <scheme val="none"/>
      </font>
      <alignment horizontal="center" vertical="center" textRotation="0" wrapText="1" indent="0" justifyLastLine="0" shrinkToFit="0" readingOrder="0"/>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font>
        <b val="0"/>
        <i val="0"/>
        <strike val="0"/>
        <condense val="0"/>
        <extend val="0"/>
        <outline val="0"/>
        <shadow val="0"/>
        <u val="none"/>
        <vertAlign val="baseline"/>
        <sz val="10"/>
        <color rgb="FFFFFFFF"/>
        <name val="JBS Display"/>
        <family val="2"/>
        <scheme val="none"/>
      </font>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FFFFFF"/>
        <name val="JBS Display"/>
        <family val="2"/>
        <scheme val="none"/>
      </font>
      <alignment horizontal="center" vertical="center" textRotation="0" wrapText="1" indent="0" justifyLastLine="0" shrinkToFit="0" readingOrder="0"/>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font>
        <b val="0"/>
        <i val="0"/>
        <strike val="0"/>
        <condense val="0"/>
        <extend val="0"/>
        <outline val="0"/>
        <shadow val="0"/>
        <u val="none"/>
        <vertAlign val="baseline"/>
        <sz val="10"/>
        <color rgb="FF000000"/>
        <name val="JBS Display"/>
        <family val="2"/>
        <scheme val="none"/>
      </font>
      <numFmt numFmtId="165" formatCode="[$-416]d\-mmm;@"/>
      <fill>
        <patternFill patternType="solid">
          <fgColor indexed="64"/>
          <bgColor theme="0"/>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000000"/>
        <name val="JBS Display"/>
        <family val="2"/>
        <scheme val="none"/>
      </font>
      <numFmt numFmtId="165" formatCode="[$-416]d\-mmm;@"/>
      <fill>
        <patternFill patternType="solid">
          <fgColor indexed="64"/>
          <bgColor theme="0"/>
        </patternFill>
      </fill>
      <alignment horizontal="center" vertical="center" textRotation="0" wrapText="1" indent="0" justifyLastLine="0" shrinkToFit="0" readingOrder="0"/>
      <border diagonalUp="0" diagonalDown="0">
        <left style="thin">
          <color theme="2" tint="-9.9948118533890809E-2"/>
        </left>
        <right style="thin">
          <color theme="2" tint="-9.9948118533890809E-2"/>
        </right>
        <top style="thin">
          <color theme="2" tint="-9.9948118533890809E-2"/>
        </top>
        <bottom/>
        <vertical/>
        <horizontal/>
      </border>
    </dxf>
    <dxf>
      <font>
        <b val="0"/>
        <i val="0"/>
        <strike val="0"/>
        <condense val="0"/>
        <extend val="0"/>
        <outline val="0"/>
        <shadow val="0"/>
        <u val="none"/>
        <vertAlign val="baseline"/>
        <sz val="10"/>
        <color rgb="FF000000"/>
        <name val="JBS Display"/>
        <family val="2"/>
        <scheme val="none"/>
      </font>
      <numFmt numFmtId="19" formatCode="dd/mm/yyyy"/>
      <fill>
        <patternFill patternType="solid">
          <fgColor indexed="64"/>
          <bgColor theme="0"/>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000000"/>
        <name val="JBS Display"/>
        <family val="2"/>
        <scheme val="none"/>
      </font>
      <numFmt numFmtId="19" formatCode="dd/mm/yyyy"/>
      <fill>
        <patternFill patternType="solid">
          <fgColor indexed="64"/>
          <bgColor theme="0"/>
        </patternFill>
      </fill>
      <alignment horizontal="center" vertical="center" textRotation="0" wrapText="1" indent="0" justifyLastLine="0" shrinkToFit="0" readingOrder="0"/>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theme="2" tint="-9.9917600024414813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17600024414813E-2"/>
        </left>
        <right style="thin">
          <color theme="2" tint="-9.9948118533890809E-2"/>
        </right>
        <top style="thin">
          <color theme="2" tint="-9.9948118533890809E-2"/>
        </top>
        <bottom style="thin">
          <color theme="2" tint="-9.9948118533890809E-2"/>
        </bottom>
        <vertical/>
        <horizontal/>
      </border>
    </dxf>
    <dxf>
      <font>
        <b val="0"/>
        <i val="0"/>
        <strike val="0"/>
        <condense val="0"/>
        <extend val="0"/>
        <outline val="0"/>
        <shadow val="0"/>
        <u val="none"/>
        <vertAlign val="baseline"/>
        <sz val="10"/>
        <color rgb="FF000000"/>
        <name val="JBS Display"/>
        <family val="2"/>
        <scheme val="none"/>
      </font>
      <fill>
        <patternFill patternType="solid">
          <fgColor indexed="64"/>
          <bgColor theme="2"/>
        </patternFill>
      </fill>
      <alignment horizontal="center" vertical="center" textRotation="0" wrapText="1" indent="0" justifyLastLine="0" shrinkToFit="0" readingOrder="0"/>
      <border diagonalUp="0" diagonalDown="0" outline="0">
        <left style="thin">
          <color theme="2" tint="-9.9917600024414813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000000"/>
        <name val="JBS Display"/>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theme="2" tint="-9.9917600024414813E-2"/>
        </left>
        <right style="thin">
          <color theme="2" tint="-9.9948118533890809E-2"/>
        </right>
        <top style="thin">
          <color theme="2" tint="-9.9948118533890809E-2"/>
        </top>
        <bottom style="thin">
          <color theme="2" tint="-9.9948118533890809E-2"/>
        </bottom>
        <vertical/>
        <horizontal/>
      </border>
    </dxf>
    <dxf>
      <font>
        <b val="0"/>
        <i val="0"/>
        <strike val="0"/>
        <condense val="0"/>
        <extend val="0"/>
        <outline val="0"/>
        <shadow val="0"/>
        <u val="none"/>
        <vertAlign val="baseline"/>
        <sz val="10"/>
        <color rgb="FF000000"/>
        <name val="JBS Display"/>
        <family val="2"/>
        <scheme val="none"/>
      </font>
      <numFmt numFmtId="164" formatCode="[$-416]mmm\-yy;@"/>
      <fill>
        <patternFill patternType="solid">
          <fgColor indexed="64"/>
          <bgColor theme="0"/>
        </patternFill>
      </fill>
      <alignment horizontal="center" vertical="center" textRotation="0" wrapText="1" indent="0" justifyLastLine="0" shrinkToFit="0" readingOrder="0"/>
      <border diagonalUp="0" diagonalDown="0" outline="0">
        <left style="thin">
          <color theme="2" tint="-9.9917600024414813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000000"/>
        <name val="JBS Display"/>
        <family val="2"/>
        <scheme val="none"/>
      </font>
      <numFmt numFmtId="164" formatCode="[$-416]mmm\-yy;@"/>
      <fill>
        <patternFill patternType="solid">
          <fgColor indexed="64"/>
          <bgColor theme="0"/>
        </patternFill>
      </fill>
      <alignment horizontal="center" vertical="center" textRotation="0" wrapText="1" indent="0" justifyLastLine="0" shrinkToFit="0" readingOrder="0"/>
      <border diagonalUp="0" diagonalDown="0">
        <left style="thin">
          <color theme="2" tint="-9.9917600024414813E-2"/>
        </left>
        <right style="thin">
          <color theme="2" tint="-9.9948118533890809E-2"/>
        </right>
        <top/>
        <bottom/>
        <vertical/>
        <horizontal/>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style="thin">
          <color theme="2" tint="-9.9948118533890809E-2"/>
        </top>
        <bottom style="thin">
          <color theme="2" tint="-9.9948118533890809E-2"/>
        </bottom>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thin">
          <color theme="2" tint="-9.9948118533890809E-2"/>
        </right>
        <top style="thin">
          <color theme="2" tint="-9.9948118533890809E-2"/>
        </top>
        <bottom/>
      </border>
    </dxf>
    <dxf>
      <font>
        <b val="0"/>
        <i val="0"/>
        <strike val="0"/>
        <condense val="0"/>
        <extend val="0"/>
        <outline val="0"/>
        <shadow val="0"/>
        <u val="none"/>
        <vertAlign val="baseline"/>
        <sz val="10"/>
        <color rgb="FF000000"/>
        <name val="JBS Display"/>
        <family val="2"/>
        <scheme val="none"/>
      </font>
      <fill>
        <patternFill patternType="solid">
          <fgColor indexed="64"/>
          <bgColor theme="0"/>
        </patternFill>
      </fill>
      <alignment horizontal="center" vertical="center" textRotation="0" wrapText="1" indent="0" justifyLastLine="0" shrinkToFit="0" readingOrder="0"/>
      <border diagonalUp="0" diagonalDown="0">
        <left/>
        <right style="thin">
          <color theme="2" tint="-9.9948118533890809E-2"/>
        </right>
        <top style="thin">
          <color theme="2" tint="-9.9948118533890809E-2"/>
        </top>
        <bottom/>
        <vertical/>
        <horizontal/>
      </border>
    </dxf>
    <dxf>
      <border outline="0">
        <top style="thin">
          <color theme="2" tint="-9.9948118533890809E-2"/>
        </top>
      </border>
    </dxf>
    <dxf>
      <border outline="0">
        <left style="thin">
          <color theme="2" tint="-9.9948118533890809E-2"/>
        </left>
        <top style="medium">
          <color theme="1"/>
        </top>
        <bottom style="thin">
          <color theme="2" tint="-9.9948118533890809E-2"/>
        </bottom>
      </border>
    </dxf>
    <dxf>
      <border outline="0">
        <bottom style="thin">
          <color theme="2" tint="-9.9948118533890809E-2"/>
        </bottom>
      </border>
    </dxf>
    <dxf>
      <font>
        <b/>
        <i val="0"/>
        <strike val="0"/>
        <condense val="0"/>
        <extend val="0"/>
        <outline val="0"/>
        <shadow val="0"/>
        <u val="none"/>
        <vertAlign val="baseline"/>
        <sz val="11"/>
        <color rgb="FFFFFFFF"/>
        <name val="JBS Display"/>
        <family val="2"/>
        <scheme val="none"/>
      </font>
      <fill>
        <patternFill patternType="solid">
          <fgColor indexed="64"/>
          <bgColor rgb="FF0070C0"/>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microsoft.com/office/2007/relationships/slicerCache" Target="slicerCaches/slicerCache2.xml"/><Relationship Id="rId5" Type="http://schemas.openxmlformats.org/officeDocument/2006/relationships/externalLink" Target="externalLinks/externalLink2.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externalLink" Target="externalLinks/externalLink1.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672352</xdr:rowOff>
    </xdr:from>
    <xdr:to>
      <xdr:col>0</xdr:col>
      <xdr:colOff>597595</xdr:colOff>
      <xdr:row>1</xdr:row>
      <xdr:rowOff>385163</xdr:rowOff>
    </xdr:to>
    <xdr:pic>
      <xdr:nvPicPr>
        <xdr:cNvPr id="3" name="Imagem 2">
          <a:extLst>
            <a:ext uri="{FF2B5EF4-FFF2-40B4-BE49-F238E27FC236}">
              <a16:creationId xmlns:a16="http://schemas.microsoft.com/office/drawing/2014/main" id="{CDFF3C00-B005-46F1-91D7-6C8C9FC933F5}"/>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672352"/>
          <a:ext cx="673795" cy="392205"/>
        </a:xfrm>
        <a:prstGeom prst="rect">
          <a:avLst/>
        </a:prstGeom>
      </xdr:spPr>
    </xdr:pic>
    <xdr:clientData/>
  </xdr:twoCellAnchor>
  <xdr:twoCellAnchor editAs="absolute">
    <xdr:from>
      <xdr:col>1</xdr:col>
      <xdr:colOff>1104388</xdr:colOff>
      <xdr:row>0</xdr:row>
      <xdr:rowOff>79561</xdr:rowOff>
    </xdr:from>
    <xdr:to>
      <xdr:col>4</xdr:col>
      <xdr:colOff>941879</xdr:colOff>
      <xdr:row>2</xdr:row>
      <xdr:rowOff>0</xdr:rowOff>
    </xdr:to>
    <mc:AlternateContent xmlns:mc="http://schemas.openxmlformats.org/markup-compatibility/2006" xmlns:sle15="http://schemas.microsoft.com/office/drawing/2012/slicer">
      <mc:Choice Requires="sle15">
        <xdr:graphicFrame macro="">
          <xdr:nvGraphicFramePr>
            <xdr:cNvPr id="2" name="Projeto">
              <a:extLst>
                <a:ext uri="{FF2B5EF4-FFF2-40B4-BE49-F238E27FC236}">
                  <a16:creationId xmlns:a16="http://schemas.microsoft.com/office/drawing/2014/main" id="{E8676A2A-E2BA-4DB5-9B9B-C5CC7F571D57}"/>
                </a:ext>
              </a:extLst>
            </xdr:cNvPr>
            <xdr:cNvGraphicFramePr/>
          </xdr:nvGraphicFramePr>
          <xdr:xfrm>
            <a:off x="0" y="0"/>
            <a:ext cx="0" cy="0"/>
          </xdr:xfrm>
          <a:graphic>
            <a:graphicData uri="http://schemas.microsoft.com/office/drawing/2010/slicer">
              <sle:slicer xmlns:sle="http://schemas.microsoft.com/office/drawing/2010/slicer" name="Projeto"/>
            </a:graphicData>
          </a:graphic>
        </xdr:graphicFrame>
      </mc:Choice>
      <mc:Fallback xmlns="">
        <xdr:sp macro="" textlink="">
          <xdr:nvSpPr>
            <xdr:cNvPr id="0" name=""/>
            <xdr:cNvSpPr>
              <a:spLocks noTextEdit="1"/>
            </xdr:cNvSpPr>
          </xdr:nvSpPr>
          <xdr:spPr>
            <a:xfrm>
              <a:off x="2162734" y="79561"/>
              <a:ext cx="2991971" cy="9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9</xdr:col>
      <xdr:colOff>399612</xdr:colOff>
      <xdr:row>0</xdr:row>
      <xdr:rowOff>79562</xdr:rowOff>
    </xdr:from>
    <xdr:to>
      <xdr:col>10</xdr:col>
      <xdr:colOff>1761463</xdr:colOff>
      <xdr:row>2</xdr:row>
      <xdr:rowOff>0</xdr:rowOff>
    </xdr:to>
    <mc:AlternateContent xmlns:mc="http://schemas.openxmlformats.org/markup-compatibility/2006" xmlns:sle15="http://schemas.microsoft.com/office/drawing/2012/slicer">
      <mc:Choice Requires="sle15">
        <xdr:graphicFrame macro="">
          <xdr:nvGraphicFramePr>
            <xdr:cNvPr id="4" name="MÊS REF.">
              <a:extLst>
                <a:ext uri="{FF2B5EF4-FFF2-40B4-BE49-F238E27FC236}">
                  <a16:creationId xmlns:a16="http://schemas.microsoft.com/office/drawing/2014/main" id="{B2D11B5E-B4C7-41CD-AC09-398C06E9612E}"/>
                </a:ext>
              </a:extLst>
            </xdr:cNvPr>
            <xdr:cNvGraphicFramePr/>
          </xdr:nvGraphicFramePr>
          <xdr:xfrm>
            <a:off x="0" y="0"/>
            <a:ext cx="0" cy="0"/>
          </xdr:xfrm>
          <a:graphic>
            <a:graphicData uri="http://schemas.microsoft.com/office/drawing/2010/slicer">
              <sle:slicer xmlns:sle="http://schemas.microsoft.com/office/drawing/2010/slicer" name="MÊS REF."/>
            </a:graphicData>
          </a:graphic>
        </xdr:graphicFrame>
      </mc:Choice>
      <mc:Fallback xmlns="">
        <xdr:sp macro="" textlink="">
          <xdr:nvSpPr>
            <xdr:cNvPr id="0" name=""/>
            <xdr:cNvSpPr>
              <a:spLocks noTextEdit="1"/>
            </xdr:cNvSpPr>
          </xdr:nvSpPr>
          <xdr:spPr>
            <a:xfrm>
              <a:off x="11878236" y="79562"/>
              <a:ext cx="2628116" cy="9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6</xdr:col>
      <xdr:colOff>235909</xdr:colOff>
      <xdr:row>0</xdr:row>
      <xdr:rowOff>78441</xdr:rowOff>
    </xdr:from>
    <xdr:to>
      <xdr:col>9</xdr:col>
      <xdr:colOff>343582</xdr:colOff>
      <xdr:row>2</xdr:row>
      <xdr:rowOff>0</xdr:rowOff>
    </xdr:to>
    <mc:AlternateContent xmlns:mc="http://schemas.openxmlformats.org/markup-compatibility/2006" xmlns:sle15="http://schemas.microsoft.com/office/drawing/2012/slicer">
      <mc:Choice Requires="sle15">
        <xdr:graphicFrame macro="">
          <xdr:nvGraphicFramePr>
            <xdr:cNvPr id="5" name="STATUS">
              <a:extLst>
                <a:ext uri="{FF2B5EF4-FFF2-40B4-BE49-F238E27FC236}">
                  <a16:creationId xmlns:a16="http://schemas.microsoft.com/office/drawing/2014/main" id="{B2D1D9EC-841B-44CD-8A9B-05A3B7851FE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200030" y="78441"/>
              <a:ext cx="2622176" cy="9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4</xdr:col>
      <xdr:colOff>1009115</xdr:colOff>
      <xdr:row>0</xdr:row>
      <xdr:rowOff>67235</xdr:rowOff>
    </xdr:from>
    <xdr:to>
      <xdr:col>6</xdr:col>
      <xdr:colOff>179879</xdr:colOff>
      <xdr:row>2</xdr:row>
      <xdr:rowOff>0</xdr:rowOff>
    </xdr:to>
    <mc:AlternateContent xmlns:mc="http://schemas.openxmlformats.org/markup-compatibility/2006" xmlns:sle15="http://schemas.microsoft.com/office/drawing/2012/slicer">
      <mc:Choice Requires="sle15">
        <xdr:graphicFrame macro="">
          <xdr:nvGraphicFramePr>
            <xdr:cNvPr id="6" name="ÁREA | PROCESSO">
              <a:extLst>
                <a:ext uri="{FF2B5EF4-FFF2-40B4-BE49-F238E27FC236}">
                  <a16:creationId xmlns:a16="http://schemas.microsoft.com/office/drawing/2014/main" id="{267E86ED-BCA2-4109-8441-BB2EEA41F58C}"/>
                </a:ext>
              </a:extLst>
            </xdr:cNvPr>
            <xdr:cNvGraphicFramePr/>
          </xdr:nvGraphicFramePr>
          <xdr:xfrm>
            <a:off x="0" y="0"/>
            <a:ext cx="0" cy="0"/>
          </xdr:xfrm>
          <a:graphic>
            <a:graphicData uri="http://schemas.microsoft.com/office/drawing/2010/slicer">
              <sle:slicer xmlns:sle="http://schemas.microsoft.com/office/drawing/2010/slicer" name="ÁREA | PROCESSO"/>
            </a:graphicData>
          </a:graphic>
        </xdr:graphicFrame>
      </mc:Choice>
      <mc:Fallback xmlns="">
        <xdr:sp macro="" textlink="">
          <xdr:nvSpPr>
            <xdr:cNvPr id="0" name=""/>
            <xdr:cNvSpPr>
              <a:spLocks noTextEdit="1"/>
            </xdr:cNvSpPr>
          </xdr:nvSpPr>
          <xdr:spPr>
            <a:xfrm>
              <a:off x="5221942" y="67235"/>
              <a:ext cx="3922058" cy="918883"/>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30480</xdr:colOff>
      <xdr:row>0</xdr:row>
      <xdr:rowOff>0</xdr:rowOff>
    </xdr:from>
    <xdr:to>
      <xdr:col>2</xdr:col>
      <xdr:colOff>228600</xdr:colOff>
      <xdr:row>1</xdr:row>
      <xdr:rowOff>53339</xdr:rowOff>
    </xdr:to>
    <xdr:pic>
      <xdr:nvPicPr>
        <xdr:cNvPr id="2" name="Imagem 1">
          <a:extLst>
            <a:ext uri="{FF2B5EF4-FFF2-40B4-BE49-F238E27FC236}">
              <a16:creationId xmlns:a16="http://schemas.microsoft.com/office/drawing/2014/main" id="{31BE19A0-3D54-4618-B697-C585006DDE78}"/>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0480" y="0"/>
          <a:ext cx="1135380" cy="6095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ontabil\Cargill_Processos\Tax%20Package\Tax_package_FY2005\Enviados_Mineapolis\Food%2084%20-%204084\International%20Tax%20Package%20%20FY05_4084-Food84_MAR.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analyst.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Meus%20documentos\aqrbv\Antigos\Planejamento%20Integrado\Ferramenta%20de%20Desdobramento%202002_1_OFICI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Meus%20documentos\aqrbv\Antigos\Planejamento%20Integrado\Composi&#231;&#227;o%20da%20Me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WINDOWS\TEMP\Arquivos\Reuni&#227;o%2026.12.03\An&#225;lise%20da%20Lacuna%20dos%20GMR%20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l Group Suggestions"/>
      <sheetName val="Tax Pack Prep Suggestions"/>
      <sheetName val="Questionnaire"/>
      <sheetName val="Dormant Cos Questionnaire"/>
      <sheetName val="Tax Pack Prep Cklst"/>
      <sheetName val="Sch 1"/>
      <sheetName val="Sch 2"/>
      <sheetName val="Sch 3a"/>
      <sheetName val="Sch 3b"/>
      <sheetName val="Sch 4"/>
      <sheetName val="Sch 5"/>
      <sheetName val="Sch 6"/>
      <sheetName val="Sch 7"/>
      <sheetName val="Sch 8"/>
      <sheetName val="Sch 9"/>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DATES"/>
      <sheetName val="Current"/>
      <sheetName val="Names"/>
      <sheetName val="GASTO FIXO_DIR"/>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refreshError="1"/>
      <sheetData sheetId="32"/>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ialogBase"/>
      <sheetName val="analyst"/>
      <sheetName val="Agrop_Port"/>
      <sheetName val="Fábricas"/>
      <sheetName val="Agropec_Porto"/>
      <sheetName val="Despesas"/>
      <sheetName val="outras despesas"/>
      <sheetName val="INDL"/>
      <sheetName val="DESP"/>
      <sheetName val="S. Foods"/>
      <sheetName val="others"/>
      <sheetName val="#REF"/>
      <sheetName val="BASE"/>
      <sheetName val="Motivos"/>
      <sheetName val="##"/>
      <sheetName val="outras_despesas"/>
      <sheetName val="S__Foods"/>
      <sheetName val="Árvore"/>
    </sheetNames>
    <definedNames>
      <definedName name="AnalystSheetClose"/>
    </defined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 val="Metas"/>
      <sheetName val="Participantes"/>
      <sheetName val="Estratificação"/>
      <sheetName val="Swot"/>
      <sheetName val="Causas"/>
      <sheetName val="Causas_Medidas"/>
      <sheetName val="Matriz_Unidade"/>
      <sheetName val="Priorização_de_Causas"/>
      <sheetName val="Empresas"/>
      <sheetName val="Farol"/>
      <sheetName val="Farol de Metas"/>
      <sheetName val="Produt."/>
      <sheetName val="Dev.SAC "/>
      <sheetName val="Custo.Var."/>
      <sheetName val="Indisp."/>
      <sheetName val="CapitalEmp."/>
      <sheetName val="MargemSub"/>
      <sheetName val="PEF"/>
      <sheetName val="QLP"/>
      <sheetName val="TurnAcid"/>
      <sheetName val="CAUSASREF"/>
      <sheetName val="PAção+3GREF"/>
      <sheetName val="MATRIZ METAxMEDIDAREF"/>
      <sheetName val="CAUSASCER"/>
      <sheetName val="PAção+3GCER"/>
      <sheetName val="MATRIZ METAxMEDIDACER"/>
      <sheetName val="CAUSASPAC"/>
      <sheetName val="PAção+3G(SAC)PAC"/>
      <sheetName val="MATRIZ METAxMEDIDAPAC"/>
      <sheetName val="CAUSASMA"/>
      <sheetName val="PAção+3GMA"/>
      <sheetName val="MATRIZ METAxMEDIDAMA"/>
      <sheetName val="CAUSASLOG"/>
      <sheetName val="PAção+3GLOG"/>
      <sheetName val="MATRIZ METAxMEDIDALOG"/>
      <sheetName val="CAUSASAdm"/>
      <sheetName val="PAção+3GAdm"/>
      <sheetName val="MATRIZ METAxMEDIDAAdm "/>
      <sheetName val="CAUSASGQT"/>
      <sheetName val="PAção+3GGQT"/>
      <sheetName val="MATRIZ METAxMEDIDAGQT"/>
      <sheetName val="Plan2"/>
      <sheetName val="BASE DE DADOS"/>
      <sheetName val="MATRIZ METAxMEDIDAAdm"/>
      <sheetName val="Plan3"/>
      <sheetName val="Tabelas"/>
      <sheetName val="Produção de resinas"/>
      <sheetName val="Ger_Juridico REAL 2005"/>
      <sheetName val="Ger_Juridico"/>
      <sheetName val="TB_Dados"/>
      <sheetName val="TB_Cliente"/>
      <sheetName val="Farol_de_Metas"/>
      <sheetName val="Produt_"/>
      <sheetName val="Dev_SAC_"/>
      <sheetName val="Custo_Var_"/>
      <sheetName val="Indisp_"/>
      <sheetName val="CapitalEmp_"/>
      <sheetName val="MATRIZ_METAxMEDIDAREF"/>
      <sheetName val="MATRIZ_METAxMEDIDACER"/>
      <sheetName val="MATRIZ_METAxMEDIDAPAC"/>
      <sheetName val="MATRIZ_METAxMEDIDAMA"/>
      <sheetName val="MATRIZ_METAxMEDIDALOG"/>
      <sheetName val="MATRIZ_METAxMEDIDAAdm_"/>
      <sheetName val="MATRIZ_METAxMEDIDAGQT"/>
      <sheetName val="BASE_DE_DADOS"/>
      <sheetName val="MATRIZ_METAxMEDIDAAdm"/>
      <sheetName val="Produção_de_resinas"/>
      <sheetName val="Ger_Juridico_REAL_2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t."/>
      <sheetName val="Dev.SAC "/>
      <sheetName val="Custo.Var."/>
      <sheetName val="Indisp."/>
      <sheetName val="CapitalEmp."/>
      <sheetName val="MargemSub"/>
      <sheetName val="PEF"/>
      <sheetName val="QLP"/>
      <sheetName val="TurnAcid"/>
      <sheetName val="Dev_SAC "/>
      <sheetName val="BaseDados"/>
      <sheetName val="Ger.Plan.Ctrl REAL 2003_2006"/>
      <sheetName val="Produt_"/>
      <sheetName val="Dev_SAC_"/>
      <sheetName val="Custo_Var_"/>
      <sheetName val="Indisp_"/>
      <sheetName val="CapitalEmp_"/>
      <sheetName val="Dev_SAC_1"/>
      <sheetName val="Ger_Plan_Ctrl_REAL_2003_20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Gráfico1"/>
      <sheetName val="Gráfico5"/>
      <sheetName val="Gráfico8"/>
      <sheetName val="Gráfico9"/>
      <sheetName val="Gráfico14"/>
      <sheetName val="Gráfico15"/>
      <sheetName val="Gráfico19"/>
      <sheetName val="Gráfico Prod"/>
      <sheetName val="Gráfico17"/>
      <sheetName val="Gráfico18"/>
      <sheetName val="Gráfico20"/>
      <sheetName val="BASE DE DADOS"/>
      <sheetName val="CAPA (3)"/>
      <sheetName val="Farol de Metas"/>
      <sheetName val="Ger.Tributos Orca"/>
      <sheetName val="Ger.Tributos REal 2003_2006"/>
      <sheetName val="Banco de Dados"/>
      <sheetName val="Gráfico_Prod"/>
      <sheetName val="BASE_DE_DADOS"/>
      <sheetName val="CAPA_(3)"/>
      <sheetName val="Farol_de_Metas"/>
      <sheetName val="Ger_Tributos_Orca"/>
      <sheetName val="Ger_Tributos_REal_2003_2006"/>
      <sheetName val="Banco_de_D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o Alexandre Soares" refreshedDate="46245.467849421293" createdVersion="6" refreshedVersion="6" minRefreshableVersion="3" recordCount="1025" xr:uid="{D4AF53C8-A98D-43D7-B956-EABE979615DA}">
  <cacheSource type="worksheet">
    <worksheetSource ref="A2:K1048576" sheet="Projetos"/>
  </cacheSource>
  <cacheFields count="11">
    <cacheField name="ID" numFmtId="0">
      <sharedItems containsString="0" containsBlank="1" containsNumber="1" containsInteger="1" minValue="1" maxValue="400"/>
    </cacheField>
    <cacheField name="Projeto" numFmtId="0">
      <sharedItems containsBlank="1" count="20">
        <s v="Barcaça"/>
        <s v="Mobiletec"/>
        <s v="Monitoramento"/>
        <s v="Lead Time ME"/>
        <s v="RoadLog"/>
        <s v="WallDash"/>
        <s v="Agendamento Portos"/>
        <s v="Transporte"/>
        <s v="Luizito"/>
        <s v="Reforma "/>
        <s v="CFTV Terminal"/>
        <s v="Newco Bebedouro"/>
        <s v="Newco Campinas"/>
        <s v="Ar Condicionado"/>
        <s v="TVs Video Wall"/>
        <s v="Câmeras Frota ME"/>
        <s v="Integração Frete Planta Porto"/>
        <s v="SOX - BALSA"/>
        <m/>
        <s v="Novo" u="1"/>
      </sharedItems>
    </cacheField>
    <cacheField name="MÊS REF." numFmtId="0">
      <sharedItems containsDate="1" containsBlank="1" containsMixedTypes="1" minDate="2026-01-01T00:00:00" maxDate="2026-08-02T00:00:00"/>
    </cacheField>
    <cacheField name="ÁREA | PROCESSO" numFmtId="0">
      <sharedItems containsBlank="1"/>
    </cacheField>
    <cacheField name="AÇÃO" numFmtId="0">
      <sharedItems containsBlank="1" count="302" longText="1">
        <s v="Realizar alinhamento da grade semanal de Barcaças ._x000a_Saídas Tecon Santa Clara - Triunfo_x000a_•_x0009_Segunda-feira: Deadline de carga a partir de quinta-feira meio dia;_x000a_•_x0009_Terça-feira: Deadline de carga a partir de sexta-feira meio dia;_x000a_•_x0009_Sexta-feira: Deadline de carga a partir de segunda-feira meio dia;_x000a_Saídas Tecon Rio Grande_x000a_•_x0009_Quarta-feira: Descarrega os vazios no Tecon Santa Clara ao decorrer da sexta-feira;_x000a_•_x0009_Quinta-feira: Descarrega os vazios no Tecon Santa Clara ao decorrer da segunda-feira, pois não temos operação nos finais de semana;_x000a_•_x0009_Domingo: Descarrega os vazios no Tecon Santa Clara ao decorrer da terça-feira;"/>
        <s v="Alinhamento para inicialmente programar 10 container por Barcaça , totalizando 30 containers na semana , para os Dry forçar inclusão para as cargas que são do RS , pois não necessidade de plugarem no terminal e na Barcaça"/>
        <s v="Garantir envio diário do relatório de patiamento de vazios do Tecon Santa Clara"/>
        <s v="Garantir envio diário do relatório de patiamento dos cheio do Tecon Santa Clara "/>
        <s v="Iniciar planejamento de vazios do Tecon Rio Grande para Tecon Santa Clara , alinhar armadores ,  depot "/>
        <s v="Iniciar programação de coleta de vazios no Tecon Santa Clara com base na demanda diária de baixas de cheio no terminal"/>
        <s v="Envio diário do painel de gestão do projeto Barcaça , incluindo ganhos apresentados. "/>
        <s v="Realizar cadastro de Tarifas das respectivas modalidades do projeto :_x000a_ - Fretes planta x Tecon Santa Clara;_x000a_ - Frete Tecon Santa Clara x Rio Grande"/>
        <s v="Realizar renegociação das tarifas de frete planta x Tecon Santa Clara  , conforme demanda enviada pelo Garcia  . Ajustar oportunidades identificadas no projeto"/>
        <s v="Avaliar demanda de automatização do frete Hidroviário , fazer Cte próprio afim de eliminar provisão automática"/>
        <s v="Realizar Treinamento com as equipes do CD Montenegro , referente ao planejamento  , priorização das cargas que serão direcionadas para Barcaça"/>
        <s v="Entregar carta conforto para Wilson Sons  , afim de isentar a cobrança de Advalorem da operação da Barcaça"/>
        <s v="Envio do link referente a integração de segurança que deverá ser realizada pelos motoristas . Scherer alinhar internamente com Diogo da TRS para que faça o treinamento com todos"/>
        <s v="Realizar treinamento da Regional RS referente ao gestão dos Gate in e planejamento do dia a dia junto a planta"/>
        <s v="Envio da relação dos CNPJ's das unidades envolvidas no projeto , para cadastro no Tecon Santa Clara"/>
        <s v="Definir Grade de embarques no Tecon Santa Clara , com base nos deadline e escala das Barcaças"/>
        <s v="Alinhamento junto ao área de Controles Logísticos , referente aos lançamentos e pagamentos das viagens realizadas via Barcaça"/>
        <s v="Criar fluxo de adição de novos volumes na Barcaça , sendo relevante após a estabilização da operação"/>
        <s v="Fechamento de Junho"/>
        <s v="Saldo De Horas"/>
        <s v="criar mascara pro container na tela de base_armador"/>
        <s v="crud projeto - cavalo e prancha"/>
        <s v="análise rotina que recupera o cod_viagem"/>
        <s v="correção rotina que recupera o cod_viagem"/>
        <s v="análise prc_gera_slt_ctn_vaz_sem_oc"/>
        <s v="execução retroativa das viagens antigas "/>
        <s v="Adicionar campo de &quot;Situação&quot; na tela de edição"/>
        <s v="liberar tela de disponibilidade V2 pro pro"/>
        <s v="ajustar salvamento disponibilidade disp V2 para recarregar a lista"/>
        <s v="mudar PK para o container e data retirada, para quando subir uma vez, inserir ou atualizar"/>
        <s v="exibir se está fora da máscara ou padrão"/>
        <s v="preparar rotina para puxar dados"/>
        <s v="Inclusão de loop e temporizador na apresentação"/>
        <s v="Fechamento de Julho"/>
        <s v="quando existir informação na base_armador, puxar as informações (cruzando cd_container) com data de retirada maior, e exibir as informacoes (coleta-retirada,armador,tipo_ctn) da base_armador  no PATEAMENTO e na listagem do Pateamento que vai para o Mobile"/>
        <s v="Tela de Disponibilidade de placas"/>
        <s v="Tela de cadastro de placas (prancha/cavalo)"/>
        <s v="Criar tela de definição do projeto (cavalos e pranchas)"/>
        <s v="Destacar linha na tela de programação com OC"/>
        <s v="Incluir coluna com quantidade"/>
        <s v="Criar contador de atendimento da OC"/>
        <s v="ajuste monitoramento ( Mapa) e melhorar grid"/>
        <s v="Adicionar histórico de alteração da data prev. da OC"/>
        <s v="Criar Justificativa de Não Programação"/>
        <s v="Analisar integração de Hiperlink do&quot; em transito &quot; para o mapa de monitoramento"/>
        <s v="Devolução de Container ( MalFunction)"/>
        <s v="Criar Opção de alterar o numero do Container da viagem"/>
        <s v="Criar tela para inserção de container na gestão de pátio (HUB e FILIAL)"/>
        <s v="Atualizar novo campos CCME8200"/>
        <s v="Checar container API do HUB"/>
        <s v="Desenvolver processo de gestão de detention"/>
        <s v="Desenvolver processo de devolução Container ( criar id devolução no sem OC) "/>
        <s v="Query Aderencia Projeto"/>
        <s v="Criar processo para atribuir / vincular container OC ( Por filial, OC e Armador)"/>
        <s v="Verificar por que  saldo do cancelamento pelo programador não retorna para o disponibilidade"/>
        <s v="SEM OC- Não está retornand o saldo quando a viagem é reprovada"/>
        <s v="Criar mais duas colunas de anotações na gestão de pátio com permissão de edição."/>
        <s v="Incluir uma biblioteca para leitura de fotos do container e preenchimento automático do campo correspondente "/>
        <s v="Homologar atualização do IOS"/>
        <s v="Criar tela com a TIME LINE do container"/>
        <s v="Incluiri coluna com o DCPOA nas trações"/>
        <s v="Gravar o numero da solicitação gerada na tabela histórico"/>
        <s v="Criar DashBoard Pátio ( Query)"/>
        <s v="Atribuir endereço na planilha exportada com as LAT/LONG do monitoramento  (reverse geocoding) "/>
        <s v="Criar função para reprogramar OC (liberar p/ usuários admin e programador)."/>
        <s v="liberar botão para atribuir motorista e placa p/ o usuário do pátio"/>
        <s v="Criar ID motorista de BITREM p/ permitir que inicio de duas viagens simultaneamente (4 horas)"/>
        <s v="Desenvolver método para importar XML e PDF da NFI."/>
        <s v="Escrever Especificação Funcional"/>
        <s v="Validar  EF "/>
        <s v="Ajuste na tela CCME6500 – Dt Prev. Prog Coleta "/>
        <s v="Ajuste na tela CCME1421 –Dt Carregamento = Dt planner Ajustada  = Faturamento"/>
        <s v="Ajuste na tela CCME1402 – Dt Planner"/>
        <s v="Criar de Parâmetros de Programação"/>
        <s v="Realizar Homologação com controle operacioanis e customer service"/>
        <s v="realizar reunião com as gerencias para elaborar o plano de comunicação"/>
        <s v="Realizar reunião com todas UP para alinhamento e implantação"/>
        <s v="Definir e cadastrar LEADTIME por unidade;"/>
        <s v="Definir limite  para antecipar e postergar carga."/>
        <s v="Definir data de implantação"/>
        <s v="Cadastrar Fornecedor"/>
        <s v="Cadastrar Placas"/>
        <s v="Realizar Call com o time de Montenegro para acompanhar os primeiros faturamento"/>
        <s v="Abrir chamado para controles operacionais corrigir o processo de geração de viagens via tela 2668/3375."/>
        <s v="Criar Booking para o Tecon Santa Clara"/>
        <s v="Definir número de veículos necessários  ou_x000a_Estabelecer a quantidade ideal de ônibus e demais veículos para atender à demanda prevista."/>
        <s v="Realizar cotação de ônibus  _x000a_Solicitar orçamentos junto a fornecedores e comparar condições de preço, prazo e qualidade."/>
        <s v="Montar Apresentação com Grande Numeros e Primissas"/>
        <s v="Elaborar material de projeto para apresentação no ROADLOG _x000a_Produzir documentos e recursos visuais (slides, gráficos, tabelas) que detalhem:_x000a_Conceito;Objetivo e Relação de Projetos ME"/>
        <s v="Solicitar ajuste do CHECK OUT hotel para 08."/>
        <s v="Criar Grafico combinado"/>
        <s v="Recurso de leitura automática de e-mail para a base do CRUD"/>
        <s v="Escrever EF para elaboração de Agendamento no"/>
        <s v="Criar grafico pareto"/>
        <s v="Ajustar importação via email com erro devido tamanho"/>
        <s v="Enviar Proposta para criação do Robôs p/ agendamento nos portos"/>
        <s v="Ajuste Fonte do Gráfico de Barras"/>
        <s v="Ajuste Dimensões dos eixos do Gráfico de Barras"/>
        <s v="Permitir ajustar rotulos de dados"/>
        <s v="Erro ao finalizar viagem Com OC e Tração"/>
        <s v="Ajustar Filtros dos Gráficos de Barras"/>
        <s v="Elaborar proposta para adequação/atualização do APP"/>
        <s v="Ajustar Rotina de Reenvio de senha por email"/>
        <s v="Revisar API da TRS p/ integração com a Martini"/>
        <s v="Adicionar rotulos nos gráficos empilhados."/>
        <s v="Filtro de Datas não está contando corretamente"/>
        <s v="Resgatar informação base_armador PARTE 1"/>
        <s v="Resgatar informação base_armador PARTE 2"/>
        <s v="Reunião / Estruturação API EVO (2.5)"/>
        <s v="Criação API EVO PARTE 1 - autenticação e criação das tabelas internas (5.0)"/>
        <s v="criação API EVO PARTE 2 - importação de placas e referenciamento interno (5.0)"/>
        <s v="Criação API EVO PARTE 3 - importação de última lat/lon por placa (5.0)"/>
        <s v="Criação API EVO PARTE 4 - importação de última lat/lon por placa (4.0)"/>
        <s v="Criação API EVO PARTE 5 - criação de serviço automático paralelo ao programa principal a cada 10 min (4.0)"/>
        <s v="Inclusão de novo filtro nos widgets"/>
        <s v="Fechamento de Agosto"/>
        <s v="Agendar Reunião com a mobiletec"/>
        <s v="Listar Janelas Disponiveis"/>
        <s v="Realizar Agendamento"/>
        <s v="Receber lista de agendamentos realizados por periodo"/>
        <s v="receber dados detalhados de um agendamento"/>
        <s v="Cancelar Agendamento"/>
        <s v="Atualizar Agendamentos"/>
        <s v="É necessário verificar também a questão dos limites aplicados aos gráficos de barras. Atualmente, o sistema está realizando o corte apenas na ordem crescente, ou seja, remove os primeiros valores. No entanto, quando a ordenação é decrescente, o comportamento esperado seria limitar aos dez últimos elementos, garantindo consistência no tratamento dos dados em ambas as direções._x000a_Além disso, seria interessante: Definir explicitamente se o limite deve ser aplicado antes ou depois da ordenação._x000a_Garantir que o critério de corte seja parametrizável (por exemplo, permitir escolher “top N” ou “bottom N”)."/>
        <s v="Erro ao adicionar apresentação com múltiplas cenas:  O sistema não está exibindo todos os slides conforme o tempo de duração configurado._x000a_Exemplo:  No Wall Teste existem 3 cenas:_x000a_Apresentação ME – duração de 344 segundos_x000a_NOMEADAS – duração de 120 segundos_x000a_CARGAS NOMEADAS &amp; PENDENTES – duração de 120 segundos_x000a_Apesar da configuração, os slides não são apresentados integralmente dentro dos tempos definidos."/>
        <s v="o filtro por filial ou regional não está funcioando no wall"/>
        <s v="Gostaria de realizar ajustes que envolvem tanto a parte visual quanto a usabilidade na tabela do WallDash, incluindo:_x000a_Ajuste das dimensões das colunas, para melhor aproveitamento do espaço e legibilidade._x000a_Alteração das cores dos títulos e linhas, visando maior contraste e organização visual._x000a_Ajuste da fonte (tipo, tamanho e peso), para garantir melhor leitura e padronização._x000a_Possibilidade de personalização adicional em elementos da tabela, como espaçamento entre linhas e estilo dos cabeçalhos."/>
        <s v="incluir uma funcionalidade de configuração de colunas, semelhante ao recurso disponível em tabelas dinâmicas do Excel. Essa melhoria permitiria transpor a tabela e visualizar os dados agrupados por filial, organizados em categorias como cheio, vazio e total"/>
        <s v="Criar Video Mostrando os dashboard"/>
        <s v="Crair query para gestão do detention do TBN"/>
        <s v="Criar Rancking da gestão de pátio por Recional"/>
        <s v="Número autorizado para alteração da data no Planner"/>
        <s v="Realizar reunião com diretoria para alinahmento"/>
        <s v="adicionar os operadores &quot;não é&quot; ou &quot;não contém&quot;."/>
        <s v="Desenvolver a view para gestão de pátio dos módulos existentes"/>
        <s v="Criar módulo de importação de dados via e-mail no CRUD, permitindo automatizar e criar dash no WALLDASH."/>
        <s v="+5 de incremento em cada barcaça"/>
        <s v="Inclusão de mais armadores"/>
        <s v="Desenvolver Query para o time de pagamento gerenciar os Ctes Pendentes"/>
        <s v="Criar IA para acompanhamento das viagens ME"/>
        <s v="a OC 1138720 ficou pendente de aprovação (o que não deveria acontecer) e acabou sendo reprovada. O problema é que ela não retorna para programação."/>
        <s v="Realizar Estudo"/>
        <s v="Orçamentos"/>
        <s v="Aprovar demanda"/>
        <s v="Cadastrar Demanda"/>
        <s v="Reforma Salas do Terminal e Copa"/>
        <s v="Aprovação Técnica"/>
        <s v="Instalação do Sistema CFTV Terminal e sala de transporte"/>
        <s v="Solicitar aprovação Corporativo"/>
        <s v="WYMS - ADICIONAR/ATUALIZAR CNPJ DA FILIAL DA NEWCO NA FILIAL DE BEBEDOURO"/>
        <s v="WYMS - ATUALIZAR CNPJ RESPONSÁVEL PELO PRODUTO"/>
        <s v="Filial -39-323- Cadastrar Rota Container"/>
        <s v="Filial -39-323- Cancelar os SPEs pendentes e recolocar como SEARA COMERCIO após a implantação."/>
        <s v="Filial --39-323- Checar Jobs de Integração com o Wyms"/>
        <s v="Filial -39-323- LCCT1035-Checar se o JOB de integração do WYMS com SRP esta cadastrado e rodando para filial 356"/>
        <s v="Filial -39-323  SNAC0116  - Parametrizar como FOB a nova filial"/>
        <s v="Filial -39-323- LSPE2020 - Parâmetro Pedidos Abastecimentos"/>
        <s v="Filial -39-323- LSPE3003 - Cadastrar lead time;"/>
        <s v="Filial -39-323- LSPE5005 - Parâmetro Abastecimentos Troca de Nota Fiscal"/>
        <s v="Filial -39-323- LTCC0015 - Prm filial Controel Ravex"/>
        <s v="Filial -39-323- LTCC1107 - Cadastrar Distâncias;"/>
        <s v="Filial -39-323- LTCC1365-  Associar Clientes nas Rotas;"/>
        <s v="Filial -39-323- LTCC1650 – Cadastrar Grade de Cliente;"/>
        <s v="Filial -39-323- LTCC1651 – Manter grupo de roteirização;"/>
        <s v="Filial -39-323- LTCC2512 - Cadastrar Tarifas Distribuição;"/>
        <s v="Filial -39-323- LTRT0002 - Manter Cliente Roteirizador"/>
        <s v="Filial -39-323- LTCC1600 - Manter Grade da Rota;"/>
        <s v="Filial -39-323- ROADNET -Importar e Geocodificar;"/>
        <s v="Filial -39-323- Parametrizar o LPLT para replicar o acesso dos usuários da SEARA na nova empresa"/>
        <s v="Filial -39-323- LTCC2512 - Cadastrar tarifas Longo Percurso;"/>
        <s v="Filial -39-323- LTRT0004 - Parâmetro filial roteirização"/>
        <s v="Filial -39-323- LTRT0046 - Manter Filiais SEP Pedidos"/>
        <s v="Filial -39-323- ROADNET -Criar Nova Filial;"/>
        <s v="Filial -39-323- ROADNET -Vincular usuários na nova filial ;"/>
        <s v="Filial -39-323- LTCC1307 – Cadastrar Rotas;"/>
        <s v="Filial - 39 - 323 - Grade de Aprovação Complementos"/>
        <s v="Filial - 39 - 323 - CAPG0495 -  MANTER PEDIDO GRADE DE  ESPECIAL  (CAPG0491-AVALIAR PEDIDO ESPECIAL ( operador, transportador, deteriorados, vencidos e etc) )"/>
        <s v="Filial -39-323- Ravex criar ID da unidade para Configurações "/>
        <s v="Filial -39-323- LTCC1182 - Manter faixa de quilometragem;"/>
        <s v="Filial --39-323- Criar Saldo de Pallet"/>
        <s v="Filial -39-323- Crair pasta no diretório: C0090\usr_ltrt"/>
        <s v="Cadastra Lat/long da filial (LTCC1103)"/>
        <s v="Cadastrar Observação de Transporte (LTCC1127)"/>
        <s v="Filial -39-323- SNAC0116  - Parametrizar como FOB a nova filial;"/>
        <s v="teste"/>
        <s v="Replicar cadastrar de clientes "/>
        <s v="Cadastrar Demanda SGP"/>
        <s v="Compra e entrega dos equipamentos (2 Ar Condicionado 18mil BTUS"/>
        <s v="Montagem e Instalação "/>
        <s v="Lançamento nota fiscal"/>
        <s v="Disponibilizar tablets para 100% dos operadores, visando agilizar o processo de endereçamento de contêineres no terminal. Implementar gestão centralizada por meio da torre de controle do terminal e transporte."/>
        <s v="TRS / JBS"/>
        <s v="NUPORANGA"/>
        <s v="BRASÍLIA + BRAZLÂNDIA"/>
        <s v="ITAIOPOLIS"/>
        <s v="FORQUILHINHA"/>
        <s v="MONTENEGRO"/>
        <s v="GARIBALDI"/>
        <s v="CAXIAS DO SUL"/>
        <s v="ANA RECH"/>
        <s v="FRONTEIRA SUL"/>
        <s v="EMERGENT COLD"/>
        <s v="HXLOG"/>
        <s v="MDX"/>
        <s v="MAFRO"/>
        <s v="AF LOOSE"/>
        <s v="BAGGIO"/>
        <s v="BGE"/>
        <s v="CECCATO"/>
        <s v="COOTRASUL"/>
        <s v="GIARETTA"/>
        <s v="GW"/>
        <s v="KOIA"/>
        <s v="LUCIMAR"/>
        <s v="RH "/>
        <s v="ROSCHILDT"/>
        <s v="TOMAZI"/>
        <s v="TRANSLEVO"/>
        <s v="Realizar reunião com a controladoria "/>
        <s v="Definir quais notas fiscais deve ser associadas ao frete"/>
        <s v="Escrever EF"/>
        <s v="Validar EF com o time da TI"/>
        <s v="Priorizar desenvolvimento"/>
        <s v="Realizar Desenvolvimento"/>
        <s v="Acompanhar processo de pagamento "/>
        <s v="Descrever especificação funcional"/>
        <s v="Atender chamado referente ao GAP"/>
        <s v="Script - Criar ID_BALSA na LTCC1107 e LTCC1190"/>
        <s v="LTCC1107 - RN01. Adicionar um checkbox (ID_BALSA) à tela LTCC1107"/>
        <s v="LTCC1190 - RN01. Adicionar um checkbox (ID_BALSA) à tela LTCC1107"/>
        <s v="Script - RN03. Criar o campo do Vl_Balsa na tela LTCC2512 (Aba. LP)"/>
        <s v="LTCC2512 - RN03. Criar o campo do Vl_Balsa na tela LTCC2512 (Aba. LP)"/>
        <s v="LTCC2512 - RN04. Se o campo ID BALSA estiver ativo na distância informada no cadastro, não deve ser permitido o registro sem o valor Vl_BALSA, caso contrário, o valor Vl_BALSA deve ser nulo"/>
        <s v="LTCC5008 - Incluir campo Vl_BALSA na tela LTCC5008"/>
        <s v="LTCC2504 - RN07. Incluir campo Vl_BALSA na tela LTCC2504"/>
        <s v="LTCC2240 - RN08. Incluir campo Vl_BALSA na Aprovação por e-mail"/>
        <s v="LTCC2510 - Com a criação Vl_Balsa na tabela deve ajustar o processo de importação de tarifa em massa realizados através das telas LTCC2510 e LTCC2515."/>
        <s v="LTCC2510 - Se o campo ID BALSA estiver ativo na distância, não deve ser permitido o registro sem o valor Vl_BALSA, caso contrário, o valor Vl_BALSA deve ser nulo."/>
        <s v="Script - RN010 Criar o campo do Vl_Balsa na tabela “VIAGEM_TRANSPORTE&quot; e RN011 Criar o campo do Vl_Balsa na tabela “ITEM_CONHECIMENTO_FRETE”"/>
        <s v="LTCC0053 - RN010 Criar o campo do Vl_Balsa na tabela “VIAGEM_TRANSPORTE&quot;"/>
        <s v="LTCC3107 - RN011 Criar o campo do Vl_Balsa na tabela “ITEM_CONHECIMENTO_FRETE”"/>
        <s v="LTCC3136 - RN012. O sistema deve registrar o valor da Balsa ao emitir um frete para uma distância identificada com o ID_Balsa e gravar (Semelhante processo de óleo retorno) vl Balsa na tela LTCC5001"/>
        <s v="LTCC5001 - RN012. O sistema deve registrar o valor da Balsa ao emitir um frete para uma distância identificada com o ID_Balsa e gravar (Semelhante processo de óleo retorno) vl Balsa na tela LTCC5001"/>
        <s v="LTCC5002 - RN013. O sistema deve dividir o valor da Balsa por Cte, registrando na tabela CONHECIMENTO_FRETE (Parecido com o processo de retorno de óleo) e na tela LTCC5002, como mostrado no print. A divisão deve ser feita na ITEM_CONHECIMENTO_FRETE."/>
        <s v="LTCC5002 - RN014. O valor da balsa deve ser somado ao total dos serviços."/>
        <s v="LTCC1233 - RN015. Como realizar a atualização do campo ID_BALSA na Origem/destino?"/>
        <s v="LTCC1233 -  Habilitar através da importação em massa com base no layout da tela LTCC1233, mas passando apenas os parâmetros de distância e o ID_BALSA (1 para ativar e 0 para inativar)."/>
        <s v="Teste - Teste Técnico"/>
        <s v="Incluir campo vl balsana tela LTCC2524"/>
        <s v="Incluir campo Vl Balsa na tela LTCC5008"/>
        <s v="LTCC1107 - Cadastro de distancia Sem o indicador "/>
        <s v="LTCC1107 - Cadastro de distancia Com o indicador "/>
        <s v="LTCC1107 - Cadastro de distancia com outra forma de KM"/>
        <s v="BCTG0620 - Realizar aprovação do cadastros "/>
        <s v="LTCC1233 - Cadastro de distancia em massa Sem o indicador "/>
        <s v="LTCC1233 - Cadastro de distancia em massa Com o indicador "/>
        <s v="LTCC1233 - Cadastro de distancia em massa com outra forma de KM"/>
        <s v="LTCC2512 - Cadastro de tarifa  Sem a nova distancia"/>
        <s v="LTCC2512 - Cadastro de tarifa Com a nova Distancia"/>
        <s v="LTCC2512 - Validar nova campo Valor"/>
        <s v="LTCC2512 - Cadastro de tarifa com outra forma de distancia"/>
        <s v="LTCC0009 - Cadastro tarifa com a nova Distancia"/>
        <s v="LTCC0009 - Cadastro tarifa sem a nova Distancia"/>
        <s v="LTCC0009 - Com vinculo "/>
        <s v="LTCC0009 - Sem vinculo"/>
        <s v="LTCC5008 - Validar novo campo valor em tela de consulta "/>
        <s v="LTCC5015 - Validar novo campo Id em tela de consulta "/>
        <s v="LTCC2504 - Validar novo campo em tela de aprovação "/>
        <s v="LTCC2504 - Validar aprovações "/>
        <s v="E-mail - Realizar aprovações Via E-mail com a nova Distancia"/>
        <s v="E-mail - Realizar aprovações Via E-mail Sem a nova Distancia"/>
        <s v="E-mail - Validar campo valor balsa na estrutura do e-mail"/>
        <s v="LTCC2510/2515  - Validar estrutura do layout"/>
        <s v="LTCC2510/2515  - Cadastro de tarifa Com a nova Distancia"/>
        <s v="LTCC2510/2515  - Cadastro de tarifa  Sem a nova distancia"/>
        <s v="LTCC5001 - Validar informação na estrutura da viagem "/>
        <s v="LTCC5100 - Validar informação na estrutura da viagem "/>
        <s v="LTCC5002 - Validar informação na estrutura do Conhecimento "/>
        <s v="LTCC5003 - Validar informação na estrutura a nivel de item Conhecimento "/>
        <s v="CtePack - Validar emissão conhecimento com o valor - Via Banco"/>
        <s v="CtePack - Validar emissão conhecimento sem o valor - Via Banco"/>
        <s v="CtePack - Novo campo CtePack - Via Banco"/>
        <s v="LTCC3403 - Validar emissão conhecimento com o valor - Via API"/>
        <s v="LTCC3500 - Validar emissão conhecimento sem o valor - Via API"/>
        <s v="Automatico - Novo campo CtePack - Via API"/>
        <s v="LTCC3403 - Impressão CTE"/>
        <s v="LTCC3500 - Impressão CTE"/>
        <s v="Automatico - Impressão CTE"/>
        <s v="Treinar equipe"/>
        <s v="Cadastrar Distancia Balsa"/>
        <s v="Cadastrar Tarifa com valores da Balsa"/>
        <s v="Validar com o fornecedores"/>
        <s v="Validar CTe"/>
        <s v="Criar chave do controle  “ID_BALSA”"/>
        <s v="Validação no LTCC3136"/>
        <m/>
        <s v="Criar DashBoard Pátio" u="1"/>
        <s v="Aderencia Projeto" u="1"/>
        <s v="ajuste monitoramento ( Mapa)" u="1"/>
        <s v="inclusão de novo filtro nos widgets 3.0" u="1"/>
        <s v="Revisar API da TRS p/ integração com a DMX" u="1"/>
        <s v="Alinhamento para inicialmente programar 10 container por Barcaça , totalizando 30 containers na semana , para os Dry forçar inclusão para as cargas que são do RS , pois não necessidade de plugagem no terminal e na Barcaça" u="1"/>
      </sharedItems>
    </cacheField>
    <cacheField name="QUEM" numFmtId="0">
      <sharedItems containsBlank="1"/>
    </cacheField>
    <cacheField name="Tempo (h)" numFmtId="0">
      <sharedItems containsString="0" containsBlank="1" containsNumber="1" minValue="-41" maxValue="8"/>
    </cacheField>
    <cacheField name="INÍCIO" numFmtId="14">
      <sharedItems containsDate="1" containsBlank="1" containsMixedTypes="1" minDate="2022-01-01T00:00:00" maxDate="2026-09-02T00:00:00"/>
    </cacheField>
    <cacheField name="FIM" numFmtId="0">
      <sharedItems containsDate="1" containsBlank="1" containsMixedTypes="1" minDate="2023-06-09T17:26:34" maxDate="2026-09-01T00:00:00"/>
    </cacheField>
    <cacheField name="STATUS" numFmtId="0">
      <sharedItems containsBlank="1" count="6">
        <s v="CONCLUÍDO"/>
        <s v="ANDAMENTO"/>
        <s v="EM ESTUDO"/>
        <s v="CANCELADO"/>
        <m/>
        <s v="A INICIAR" u="1"/>
      </sharedItems>
    </cacheField>
    <cacheField name="OBSERVAÇÕ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5">
  <r>
    <n v="1"/>
    <x v="0"/>
    <d v="2026-07-01T00:00:00"/>
    <s v="Tecon Santa Clara"/>
    <x v="0"/>
    <s v="Lucielen"/>
    <m/>
    <d v="2026-07-03T00:00:00"/>
    <d v="2026-07-03T00:00:00"/>
    <x v="0"/>
    <m/>
  </r>
  <r>
    <n v="2"/>
    <x v="0"/>
    <d v="2026-07-01T00:00:00"/>
    <s v="Operação Seara"/>
    <x v="1"/>
    <s v="Scherer"/>
    <m/>
    <d v="2026-07-17T00:00:00"/>
    <d v="2026-07-09T00:00:00"/>
    <x v="0"/>
    <s v="Iniciar as programações na 28 , de 06 à 10/07"/>
  </r>
  <r>
    <n v="3"/>
    <x v="0"/>
    <d v="2026-07-01T00:00:00"/>
    <s v="Tecon Santa Clara"/>
    <x v="2"/>
    <s v="Lucielen"/>
    <m/>
    <d v="2026-07-17T00:00:00"/>
    <m/>
    <x v="0"/>
    <s v="10/07 - solicitar envio para Miriã_x000a_Após início das operações garantir gestão diária"/>
  </r>
  <r>
    <n v="4"/>
    <x v="0"/>
    <d v="2026-07-01T00:00:00"/>
    <s v="Tecon Santa Clara"/>
    <x v="3"/>
    <s v="Lucielen"/>
    <m/>
    <d v="2026-07-17T00:00:00"/>
    <m/>
    <x v="0"/>
    <s v="10/07 - solicitar envio para Miriã_x000a_Após início das operações garantir gestão diária"/>
  </r>
  <r>
    <n v="5"/>
    <x v="0"/>
    <d v="2026-07-01T00:00:00"/>
    <s v="Operação Seara"/>
    <x v="4"/>
    <s v="Victor Muller"/>
    <m/>
    <d v="2026-07-07T00:00:00"/>
    <d v="2026-07-07T00:00:00"/>
    <x v="0"/>
    <m/>
  </r>
  <r>
    <n v="6"/>
    <x v="0"/>
    <d v="2026-07-01T00:00:00"/>
    <s v="Operação Seara"/>
    <x v="5"/>
    <s v="Marcos Mattos"/>
    <m/>
    <d v="2026-07-09T00:00:00"/>
    <d v="2026-07-14T00:00:00"/>
    <x v="0"/>
    <s v="Incluir programação do Tecon Santa Clara igual as demais plantas da regional"/>
  </r>
  <r>
    <n v="7"/>
    <x v="0"/>
    <d v="2026-07-01T00:00:00"/>
    <s v="Operação Seara"/>
    <x v="6"/>
    <s v="Ivo Soares"/>
    <m/>
    <d v="2026-07-13T00:00:00"/>
    <d v="2026-07-15T00:00:00"/>
    <x v="0"/>
    <s v="Após estabilização incluir na gestão da área de transporte ME"/>
  </r>
  <r>
    <n v="8"/>
    <x v="0"/>
    <d v="2026-07-01T00:00:00"/>
    <s v="Operação Seara"/>
    <x v="7"/>
    <s v="Ivo Soares"/>
    <m/>
    <d v="2026-07-17T00:00:00"/>
    <d v="2026-07-14T00:00:00"/>
    <x v="0"/>
    <s v="Alinhar com o Marcio para cadastrar tarifas das demais unidades"/>
  </r>
  <r>
    <n v="9"/>
    <x v="0"/>
    <d v="2026-07-01T00:00:00"/>
    <s v="Operação Seara"/>
    <x v="8"/>
    <s v="Marcio Camargo"/>
    <m/>
    <d v="2026-07-07T00:00:00"/>
    <d v="2026-07-08T00:00:00"/>
    <x v="0"/>
    <m/>
  </r>
  <r>
    <n v="10"/>
    <x v="0"/>
    <d v="2026-07-01T00:00:00"/>
    <s v="Operação Seara"/>
    <x v="9"/>
    <s v="Ivo Soares"/>
    <m/>
    <d v="2026-07-30T00:00:00"/>
    <m/>
    <x v="1"/>
    <s v="Levantar tema e avaliar oportunidades , apresentar opções"/>
  </r>
  <r>
    <n v="11"/>
    <x v="0"/>
    <d v="2026-07-01T00:00:00"/>
    <s v="Operação Seara"/>
    <x v="10"/>
    <s v="Ivo Soares"/>
    <m/>
    <d v="2026-07-15T00:00:00"/>
    <d v="2026-07-08T00:00:00"/>
    <x v="0"/>
    <m/>
  </r>
  <r>
    <n v="12"/>
    <x v="0"/>
    <d v="2026-07-01T00:00:00"/>
    <s v="Operação Seara"/>
    <x v="11"/>
    <s v="Bruno Mendes"/>
    <m/>
    <d v="2026-07-20T00:00:00"/>
    <m/>
    <x v="1"/>
    <m/>
  </r>
  <r>
    <n v="13"/>
    <x v="0"/>
    <d v="2026-07-01T00:00:00"/>
    <s v="Operação Seara"/>
    <x v="12"/>
    <s v="Junior Scherer"/>
    <m/>
    <d v="2026-06-09T00:00:00"/>
    <d v="2026-06-09T00:00:00"/>
    <x v="0"/>
    <s v="Enviar para Roshild"/>
  </r>
  <r>
    <n v="14"/>
    <x v="0"/>
    <d v="2026-07-01T00:00:00"/>
    <s v="Operação Seara"/>
    <x v="13"/>
    <s v="Ivo Soares"/>
    <m/>
    <d v="2026-07-09T00:00:00"/>
    <d v="2026-07-08T00:00:00"/>
    <x v="0"/>
    <m/>
  </r>
  <r>
    <n v="15"/>
    <x v="0"/>
    <d v="2026-07-01T00:00:00"/>
    <s v="Operação Seara"/>
    <x v="14"/>
    <s v="Ivo Soares"/>
    <m/>
    <d v="2026-07-08T00:00:00"/>
    <d v="2026-07-08T00:00:00"/>
    <x v="0"/>
    <m/>
  </r>
  <r>
    <n v="16"/>
    <x v="0"/>
    <d v="2026-07-01T00:00:00"/>
    <s v="Operação Seara"/>
    <x v="15"/>
    <s v="Ivo Soares"/>
    <m/>
    <d v="2026-07-09T00:00:00"/>
    <d v="2026-07-07T00:00:00"/>
    <x v="0"/>
    <m/>
  </r>
  <r>
    <n v="17"/>
    <x v="0"/>
    <d v="2026-07-01T00:00:00"/>
    <s v="Operação Seara"/>
    <x v="16"/>
    <s v="Luiz Garcia"/>
    <m/>
    <d v="2026-07-08T00:00:00"/>
    <m/>
    <x v="0"/>
    <s v="Alinhamento com Osvaldo e Camila"/>
  </r>
  <r>
    <n v="18"/>
    <x v="0"/>
    <d v="2026-07-01T00:00:00"/>
    <s v="Operação Seara"/>
    <x v="17"/>
    <s v="Ivo Soares"/>
    <m/>
    <d v="2026-08-18T00:00:00"/>
    <d v="2026-07-18T00:00:00"/>
    <x v="0"/>
    <s v="Equipe da controladoria do HUB irá emitir"/>
  </r>
  <r>
    <n v="19"/>
    <x v="1"/>
    <d v="2026-06-01T00:00:00"/>
    <s v="Geral"/>
    <x v="18"/>
    <s v="Ivo Soares"/>
    <n v="-40"/>
    <d v="2026-06-01T00:00:00"/>
    <d v="2026-06-30T00:00:00"/>
    <x v="0"/>
    <m/>
  </r>
  <r>
    <n v="20"/>
    <x v="1"/>
    <d v="2026-06-01T00:00:00"/>
    <s v="Geral"/>
    <x v="19"/>
    <s v="Ivo Soares"/>
    <n v="-41"/>
    <d v="2026-06-01T00:00:00"/>
    <d v="2026-06-30T00:00:00"/>
    <x v="0"/>
    <m/>
  </r>
  <r>
    <n v="21"/>
    <x v="1"/>
    <d v="2026-06-01T00:00:00"/>
    <s v="Geral"/>
    <x v="20"/>
    <s v="Matheus Bruzaca"/>
    <n v="8"/>
    <d v="2026-06-02T00:00:00"/>
    <d v="2026-06-02T08:00:00"/>
    <x v="0"/>
    <m/>
  </r>
  <r>
    <n v="22"/>
    <x v="1"/>
    <d v="2026-06-01T00:00:00"/>
    <s v="Geral"/>
    <x v="21"/>
    <s v="Matheus Bruzaca"/>
    <n v="3"/>
    <d v="2026-06-05T00:00:00"/>
    <d v="2026-06-05T03:00:00"/>
    <x v="0"/>
    <m/>
  </r>
  <r>
    <n v="23"/>
    <x v="1"/>
    <d v="2026-06-01T00:00:00"/>
    <s v="Geral"/>
    <x v="22"/>
    <s v="Matheus Bruzaca"/>
    <n v="2"/>
    <d v="2026-06-08T00:00:00"/>
    <d v="2026-06-08T02:00:00"/>
    <x v="0"/>
    <m/>
  </r>
  <r>
    <n v="24"/>
    <x v="1"/>
    <d v="2026-06-01T00:00:00"/>
    <s v="Geral"/>
    <x v="23"/>
    <s v="Matheus Bruzaca"/>
    <n v="3"/>
    <d v="2026-06-10T00:00:00"/>
    <d v="2026-06-10T03:00:00"/>
    <x v="0"/>
    <m/>
  </r>
  <r>
    <n v="25"/>
    <x v="1"/>
    <d v="2026-06-01T00:00:00"/>
    <s v="Geral"/>
    <x v="24"/>
    <s v="Matheus Bruzaca"/>
    <n v="1"/>
    <d v="2026-06-10T00:00:00"/>
    <d v="2026-06-10T01:00:00"/>
    <x v="0"/>
    <m/>
  </r>
  <r>
    <n v="26"/>
    <x v="1"/>
    <d v="2026-06-01T00:00:00"/>
    <s v="Geral"/>
    <x v="25"/>
    <s v="Matheus Bruzaca"/>
    <n v="1"/>
    <d v="2026-06-11T00:00:00"/>
    <d v="2026-06-11T01:00:00"/>
    <x v="0"/>
    <m/>
  </r>
  <r>
    <n v="27"/>
    <x v="1"/>
    <d v="2026-06-01T00:00:00"/>
    <s v="Geral"/>
    <x v="26"/>
    <s v="Matheus Bruzaca"/>
    <n v="2"/>
    <d v="2026-06-16T00:00:00"/>
    <d v="2026-06-16T02:00:00"/>
    <x v="0"/>
    <m/>
  </r>
  <r>
    <n v="28"/>
    <x v="1"/>
    <d v="2026-06-01T00:00:00"/>
    <s v="Geral"/>
    <x v="27"/>
    <s v="Matheus Bruzaca"/>
    <n v="1"/>
    <d v="2026-06-16T00:00:00"/>
    <d v="2026-06-16T01:00:00"/>
    <x v="0"/>
    <m/>
  </r>
  <r>
    <n v="29"/>
    <x v="1"/>
    <d v="2026-06-01T00:00:00"/>
    <s v="Geral"/>
    <x v="28"/>
    <s v="Matheus Bruzaca"/>
    <n v="1"/>
    <d v="2026-06-16T00:00:00"/>
    <d v="2026-06-16T01:00:00"/>
    <x v="0"/>
    <m/>
  </r>
  <r>
    <n v="30"/>
    <x v="1"/>
    <d v="2026-06-01T00:00:00"/>
    <s v="Geral"/>
    <x v="20"/>
    <s v="Matheus Bruzaca"/>
    <n v="4"/>
    <d v="2026-06-29T00:00:00"/>
    <d v="2026-06-29T04:00:00"/>
    <x v="0"/>
    <m/>
  </r>
  <r>
    <n v="31"/>
    <x v="1"/>
    <d v="2026-06-01T00:00:00"/>
    <s v="Geral"/>
    <x v="29"/>
    <s v="Matheus Bruzaca"/>
    <n v="2"/>
    <d v="2026-06-29T00:00:00"/>
    <d v="2026-06-29T02:00:00"/>
    <x v="0"/>
    <m/>
  </r>
  <r>
    <n v="32"/>
    <x v="1"/>
    <d v="2026-06-01T00:00:00"/>
    <s v="Geral"/>
    <x v="30"/>
    <s v="Matheus Bruzaca"/>
    <n v="4"/>
    <d v="2026-06-30T00:00:00"/>
    <d v="2026-06-30T04:00:00"/>
    <x v="0"/>
    <m/>
  </r>
  <r>
    <n v="33"/>
    <x v="1"/>
    <d v="2026-06-01T00:00:00"/>
    <s v="Geral"/>
    <x v="31"/>
    <s v="Matheus Bruzaca"/>
    <n v="3"/>
    <d v="2026-06-30T00:00:00"/>
    <d v="2026-06-30T03:00:00"/>
    <x v="0"/>
    <m/>
  </r>
  <r>
    <n v="34"/>
    <x v="1"/>
    <d v="2026-06-01T00:00:00"/>
    <s v="Geral"/>
    <x v="32"/>
    <s v="Fabio Borges"/>
    <n v="6"/>
    <d v="2026-06-30T00:00:00"/>
    <d v="2026-06-30T06:00:00"/>
    <x v="0"/>
    <m/>
  </r>
  <r>
    <n v="35"/>
    <x v="1"/>
    <d v="2026-07-01T00:00:00"/>
    <s v="Geral"/>
    <x v="33"/>
    <s v="Ivo Soares"/>
    <n v="-40"/>
    <d v="2026-07-01T00:00:00"/>
    <d v="2026-07-31T00:00:00"/>
    <x v="0"/>
    <m/>
  </r>
  <r>
    <n v="36"/>
    <x v="1"/>
    <d v="2026-07-01T00:00:00"/>
    <s v="Geral"/>
    <x v="19"/>
    <s v="Ivo Soares"/>
    <n v="-40"/>
    <d v="2026-07-01T00:00:00"/>
    <d v="2026-07-31T00:00:00"/>
    <x v="0"/>
    <m/>
  </r>
  <r>
    <n v="37"/>
    <x v="1"/>
    <d v="2026-07-01T00:00:00"/>
    <s v="Geral"/>
    <x v="34"/>
    <s v="Ivo Soares"/>
    <m/>
    <d v="2026-07-01T00:00:00"/>
    <d v="2026-07-01T00:00:00"/>
    <x v="0"/>
    <m/>
  </r>
  <r>
    <n v="38"/>
    <x v="2"/>
    <d v="2026-08-01T00:00:00"/>
    <s v="Geral"/>
    <x v="35"/>
    <s v="Matheus Bruzaca"/>
    <m/>
    <d v="2026-06-01T00:00:00"/>
    <m/>
    <x v="1"/>
    <m/>
  </r>
  <r>
    <n v="39"/>
    <x v="2"/>
    <d v="2026-08-01T00:00:00"/>
    <s v="Geral"/>
    <x v="36"/>
    <s v="Matheus Bruzaca"/>
    <m/>
    <d v="2026-06-01T00:00:00"/>
    <m/>
    <x v="1"/>
    <m/>
  </r>
  <r>
    <n v="40"/>
    <x v="1"/>
    <d v="2026-07-01T00:00:00"/>
    <s v="Geral"/>
    <x v="37"/>
    <s v="Matheus Bruzaca"/>
    <n v="0"/>
    <d v="2026-07-01T00:00:00"/>
    <d v="2026-07-01T00:00:00"/>
    <x v="0"/>
    <m/>
  </r>
  <r>
    <n v="41"/>
    <x v="2"/>
    <d v="2026-08-01T00:00:00"/>
    <s v="Com OC"/>
    <x v="38"/>
    <s v="Matheus Bruzaca"/>
    <m/>
    <d v="2026-06-01T00:00:00"/>
    <m/>
    <x v="1"/>
    <m/>
  </r>
  <r>
    <n v="42"/>
    <x v="2"/>
    <d v="2026-08-01T00:00:00"/>
    <s v="Com OC"/>
    <x v="39"/>
    <s v="Matheus Bruzaca"/>
    <m/>
    <d v="2026-06-01T00:00:00"/>
    <m/>
    <x v="1"/>
    <m/>
  </r>
  <r>
    <n v="43"/>
    <x v="2"/>
    <d v="2026-08-01T00:00:00"/>
    <s v="Com OC"/>
    <x v="40"/>
    <s v="Matheus Bruzaca"/>
    <m/>
    <d v="2026-06-01T00:00:00"/>
    <m/>
    <x v="1"/>
    <m/>
  </r>
  <r>
    <n v="44"/>
    <x v="2"/>
    <d v="2026-08-01T00:00:00"/>
    <s v="Mapa"/>
    <x v="41"/>
    <s v="Matheus Bruzaca"/>
    <m/>
    <d v="2026-06-01T00:00:00"/>
    <m/>
    <x v="2"/>
    <m/>
  </r>
  <r>
    <n v="45"/>
    <x v="2"/>
    <d v="2026-08-01T00:00:00"/>
    <s v="Com OC"/>
    <x v="42"/>
    <s v="Matheus Bruzaca"/>
    <m/>
    <d v="2026-06-01T00:00:00"/>
    <m/>
    <x v="2"/>
    <m/>
  </r>
  <r>
    <n v="46"/>
    <x v="2"/>
    <d v="2026-08-01T00:00:00"/>
    <s v="Com OC"/>
    <x v="43"/>
    <s v="Matheus Bruzaca"/>
    <m/>
    <d v="2026-06-01T00:00:00"/>
    <m/>
    <x v="2"/>
    <m/>
  </r>
  <r>
    <n v="47"/>
    <x v="2"/>
    <d v="2026-08-01T00:00:00"/>
    <s v="Todas"/>
    <x v="44"/>
    <s v="Matheus Bruzaca"/>
    <m/>
    <d v="2026-06-01T00:00:00"/>
    <m/>
    <x v="2"/>
    <m/>
  </r>
  <r>
    <n v="48"/>
    <x v="2"/>
    <d v="2026-08-01T00:00:00"/>
    <s v="Gestão de Pátio"/>
    <x v="45"/>
    <s v="Matheus Bruzaca"/>
    <m/>
    <d v="2026-06-01T00:00:00"/>
    <m/>
    <x v="2"/>
    <m/>
  </r>
  <r>
    <n v="49"/>
    <x v="2"/>
    <d v="2026-08-01T00:00:00"/>
    <s v="Todas"/>
    <x v="46"/>
    <s v="Matheus Bruzaca"/>
    <m/>
    <d v="2026-06-01T00:00:00"/>
    <m/>
    <x v="2"/>
    <m/>
  </r>
  <r>
    <n v="50"/>
    <x v="2"/>
    <d v="2026-08-01T00:00:00"/>
    <s v="Gestão de Pátio"/>
    <x v="47"/>
    <s v="Matheus Bruzaca"/>
    <m/>
    <d v="2026-06-01T00:00:00"/>
    <m/>
    <x v="2"/>
    <m/>
  </r>
  <r>
    <n v="51"/>
    <x v="2"/>
    <d v="2026-08-01T00:00:00"/>
    <s v="Integração SRP"/>
    <x v="48"/>
    <s v="Matheus Bruzaca"/>
    <m/>
    <d v="2026-06-01T00:00:00"/>
    <m/>
    <x v="2"/>
    <m/>
  </r>
  <r>
    <n v="52"/>
    <x v="2"/>
    <d v="2026-08-01T00:00:00"/>
    <s v="Gestão de Pátio"/>
    <x v="49"/>
    <s v="Matheus Bruzaca"/>
    <m/>
    <d v="2026-06-01T00:00:00"/>
    <m/>
    <x v="2"/>
    <m/>
  </r>
  <r>
    <n v="53"/>
    <x v="2"/>
    <d v="2026-08-01T00:00:00"/>
    <s v="Geral"/>
    <x v="50"/>
    <s v="Matheus Bruzaca"/>
    <m/>
    <d v="2026-06-01T00:00:00"/>
    <m/>
    <x v="2"/>
    <m/>
  </r>
  <r>
    <n v="54"/>
    <x v="2"/>
    <d v="2026-08-01T00:00:00"/>
    <s v="Gestão de Pátio"/>
    <x v="51"/>
    <s v="Matheus Bruzaca"/>
    <m/>
    <d v="2026-06-01T00:00:00"/>
    <m/>
    <x v="2"/>
    <m/>
  </r>
  <r>
    <n v="55"/>
    <x v="2"/>
    <d v="2026-08-01T00:00:00"/>
    <s v="Gestão Projeto"/>
    <x v="52"/>
    <s v="Matheus Bruzaca"/>
    <m/>
    <d v="2026-06-01T00:00:00"/>
    <m/>
    <x v="1"/>
    <m/>
  </r>
  <r>
    <n v="56"/>
    <x v="2"/>
    <d v="2026-08-01T00:00:00"/>
    <s v="Com OC"/>
    <x v="53"/>
    <s v="Matheus Bruzaca"/>
    <m/>
    <d v="2026-06-01T00:00:00"/>
    <m/>
    <x v="2"/>
    <m/>
  </r>
  <r>
    <n v="57"/>
    <x v="2"/>
    <d v="2026-08-01T00:00:00"/>
    <s v="Disponibilidade"/>
    <x v="54"/>
    <s v="Matheus Bruzaca"/>
    <m/>
    <d v="2026-06-01T00:00:00"/>
    <m/>
    <x v="2"/>
    <m/>
  </r>
  <r>
    <n v="58"/>
    <x v="2"/>
    <d v="2026-08-01T00:00:00"/>
    <s v="Sem OC"/>
    <x v="55"/>
    <s v="Matheus Bruzaca"/>
    <m/>
    <d v="2026-06-01T00:00:00"/>
    <m/>
    <x v="2"/>
    <m/>
  </r>
  <r>
    <n v="59"/>
    <x v="2"/>
    <d v="2026-08-01T00:00:00"/>
    <s v="Gestão de Pátio"/>
    <x v="56"/>
    <s v="Matheus Bruzaca"/>
    <m/>
    <d v="2026-06-01T00:00:00"/>
    <m/>
    <x v="2"/>
    <m/>
  </r>
  <r>
    <n v="60"/>
    <x v="2"/>
    <d v="2026-08-01T00:00:00"/>
    <s v="APP"/>
    <x v="57"/>
    <s v="Fabio Borges"/>
    <m/>
    <d v="2026-06-01T00:00:00"/>
    <m/>
    <x v="2"/>
    <m/>
  </r>
  <r>
    <n v="61"/>
    <x v="2"/>
    <d v="2026-08-01T00:00:00"/>
    <s v="APP"/>
    <x v="58"/>
    <s v="Fabio Borges"/>
    <m/>
    <d v="2026-06-01T00:00:00"/>
    <m/>
    <x v="2"/>
    <m/>
  </r>
  <r>
    <n v="62"/>
    <x v="2"/>
    <d v="2026-08-01T00:00:00"/>
    <s v="Administração"/>
    <x v="59"/>
    <s v="Matheus Bruzaca"/>
    <m/>
    <d v="2026-06-01T00:00:00"/>
    <m/>
    <x v="2"/>
    <m/>
  </r>
  <r>
    <n v="63"/>
    <x v="2"/>
    <d v="2026-08-01T00:00:00"/>
    <s v="Tração"/>
    <x v="60"/>
    <s v="Matheus Bruzaca"/>
    <m/>
    <d v="2026-06-01T00:00:00"/>
    <m/>
    <x v="2"/>
    <m/>
  </r>
  <r>
    <n v="64"/>
    <x v="2"/>
    <d v="2026-08-01T00:00:00"/>
    <s v="Sem OC"/>
    <x v="61"/>
    <s v="Matheus Bruzaca"/>
    <m/>
    <d v="2026-06-01T00:00:00"/>
    <m/>
    <x v="2"/>
    <m/>
  </r>
  <r>
    <n v="65"/>
    <x v="2"/>
    <d v="2026-08-01T00:00:00"/>
    <s v="Gestão de Pátio"/>
    <x v="62"/>
    <s v="Matheus Bruzaca"/>
    <m/>
    <d v="2026-06-01T00:00:00"/>
    <m/>
    <x v="3"/>
    <m/>
  </r>
  <r>
    <n v="66"/>
    <x v="2"/>
    <d v="2026-08-01T00:00:00"/>
    <s v="Geral"/>
    <x v="63"/>
    <s v="Matheus Bruzaca"/>
    <m/>
    <d v="2026-06-01T00:00:00"/>
    <m/>
    <x v="2"/>
    <m/>
  </r>
  <r>
    <n v="67"/>
    <x v="2"/>
    <d v="2026-08-01T00:00:00"/>
    <s v="Com OC"/>
    <x v="64"/>
    <s v="Matheus Bruzaca"/>
    <m/>
    <d v="2026-06-01T00:00:00"/>
    <m/>
    <x v="2"/>
    <m/>
  </r>
  <r>
    <n v="68"/>
    <x v="2"/>
    <d v="2026-08-01T00:00:00"/>
    <s v="Gestão de Pátio"/>
    <x v="65"/>
    <s v="Matheus Bruzaca"/>
    <m/>
    <d v="2026-06-01T00:00:00"/>
    <m/>
    <x v="2"/>
    <m/>
  </r>
  <r>
    <n v="69"/>
    <x v="2"/>
    <d v="2026-08-01T00:00:00"/>
    <s v="APP"/>
    <x v="66"/>
    <s v="Fabio Borges"/>
    <m/>
    <d v="2024-05-01T00:00:00"/>
    <m/>
    <x v="2"/>
    <m/>
  </r>
  <r>
    <n v="70"/>
    <x v="2"/>
    <d v="2026-08-01T00:00:00"/>
    <s v="Tração"/>
    <x v="67"/>
    <s v="Matheus Bruzaca"/>
    <m/>
    <d v="2022-01-01T00:00:00"/>
    <m/>
    <x v="2"/>
    <m/>
  </r>
  <r>
    <n v="71"/>
    <x v="3"/>
    <d v="2026-07-01T00:00:00"/>
    <s v="Planejamento"/>
    <x v="68"/>
    <s v="Ivo Soares"/>
    <m/>
    <d v="2026-01-01T00:00:00"/>
    <d v="2026-01-01T00:00:00"/>
    <x v="0"/>
    <m/>
  </r>
  <r>
    <n v="72"/>
    <x v="3"/>
    <d v="2026-07-01T00:00:00"/>
    <s v="Planejamento"/>
    <x v="69"/>
    <s v="Ivo Soares"/>
    <m/>
    <d v="2026-01-01T00:00:00"/>
    <d v="2026-01-01T00:00:00"/>
    <x v="0"/>
    <m/>
  </r>
  <r>
    <n v="73"/>
    <x v="3"/>
    <d v="2026-07-01T00:00:00"/>
    <s v="Desenvolvimento"/>
    <x v="70"/>
    <s v="Luciano TI"/>
    <m/>
    <d v="2026-01-01T00:00:00"/>
    <d v="2026-03-03T00:00:00"/>
    <x v="0"/>
    <m/>
  </r>
  <r>
    <n v="74"/>
    <x v="3"/>
    <d v="2026-07-01T00:00:00"/>
    <s v="Desenvolvimento"/>
    <x v="71"/>
    <s v="Luciano TI"/>
    <m/>
    <d v="2026-01-01T00:00:00"/>
    <d v="2026-03-03T00:00:00"/>
    <x v="0"/>
    <m/>
  </r>
  <r>
    <n v="75"/>
    <x v="3"/>
    <d v="2026-07-01T00:00:00"/>
    <s v="Desenvolvimento"/>
    <x v="72"/>
    <s v="Luciano TI"/>
    <m/>
    <d v="2026-01-01T00:00:00"/>
    <d v="2026-03-03T00:00:00"/>
    <x v="0"/>
    <m/>
  </r>
  <r>
    <n v="76"/>
    <x v="3"/>
    <d v="2026-07-01T00:00:00"/>
    <s v="Desenvolvimento"/>
    <x v="73"/>
    <s v="Luciano TI"/>
    <m/>
    <d v="2026-01-01T00:00:00"/>
    <d v="2026-03-03T00:00:00"/>
    <x v="0"/>
    <m/>
  </r>
  <r>
    <n v="77"/>
    <x v="3"/>
    <d v="2026-07-01T00:00:00"/>
    <s v="Controles"/>
    <x v="74"/>
    <s v="Bruno Furtado"/>
    <m/>
    <d v="2026-03-03T00:00:00"/>
    <d v="2026-04-01T00:00:00"/>
    <x v="0"/>
    <m/>
  </r>
  <r>
    <n v="78"/>
    <x v="3"/>
    <d v="2026-07-01T00:00:00"/>
    <s v="Transporte"/>
    <x v="75"/>
    <s v="Ivo Soares"/>
    <m/>
    <d v="2026-07-07T00:00:00"/>
    <d v="2026-07-07T00:00:00"/>
    <x v="0"/>
    <m/>
  </r>
  <r>
    <n v="79"/>
    <x v="3"/>
    <d v="2026-07-01T00:00:00"/>
    <s v="Planejamento"/>
    <x v="76"/>
    <s v="Rafael Morais"/>
    <m/>
    <d v="2026-07-10T00:00:00"/>
    <m/>
    <x v="1"/>
    <m/>
  </r>
  <r>
    <n v="80"/>
    <x v="3"/>
    <d v="2026-07-01T00:00:00"/>
    <s v="Transporte"/>
    <x v="77"/>
    <s v="Ivo Soares"/>
    <m/>
    <d v="2026-07-10T00:00:00"/>
    <m/>
    <x v="1"/>
    <m/>
  </r>
  <r>
    <n v="81"/>
    <x v="3"/>
    <d v="2026-07-01T00:00:00"/>
    <s v="Customer Service"/>
    <x v="78"/>
    <s v="Junior Brustolin"/>
    <m/>
    <d v="2026-07-10T00:00:00"/>
    <d v="2026-07-30T00:00:00"/>
    <x v="0"/>
    <m/>
  </r>
  <r>
    <n v="82"/>
    <x v="3"/>
    <d v="2026-07-01T00:00:00"/>
    <s v="Planejamento"/>
    <x v="79"/>
    <s v="Rafael Morais"/>
    <m/>
    <d v="2026-07-10T00:00:00"/>
    <m/>
    <x v="1"/>
    <m/>
  </r>
  <r>
    <n v="83"/>
    <x v="0"/>
    <d v="2026-07-01T00:00:00"/>
    <s v="Operação Seara"/>
    <x v="80"/>
    <s v="Ivo Soares"/>
    <m/>
    <d v="2026-08-18T00:00:00"/>
    <d v="2026-07-08T00:00:00"/>
    <x v="0"/>
    <m/>
  </r>
  <r>
    <n v="84"/>
    <x v="0"/>
    <d v="2026-07-01T00:00:00"/>
    <s v="Operação Seara"/>
    <x v="81"/>
    <s v="Ivo Soares"/>
    <m/>
    <d v="2026-08-18T00:00:00"/>
    <d v="2026-07-08T00:00:00"/>
    <x v="0"/>
    <m/>
  </r>
  <r>
    <n v="85"/>
    <x v="0"/>
    <d v="2026-07-01T00:00:00"/>
    <s v="Operação Seara"/>
    <x v="82"/>
    <s v="Ivo Soares"/>
    <m/>
    <d v="2026-07-09T00:00:00"/>
    <d v="2026-07-09T00:00:00"/>
    <x v="0"/>
    <m/>
  </r>
  <r>
    <n v="86"/>
    <x v="0"/>
    <d v="2026-07-01T00:00:00"/>
    <s v="Operação Seara"/>
    <x v="83"/>
    <s v="Ivo Soares"/>
    <m/>
    <d v="2026-07-09T00:00:00"/>
    <d v="2026-07-14T00:00:00"/>
    <x v="0"/>
    <s v="Chamado Aberto "/>
  </r>
  <r>
    <n v="87"/>
    <x v="0"/>
    <d v="2026-07-01T00:00:00"/>
    <s v="Operação Seara"/>
    <x v="84"/>
    <s v="Victor Muller"/>
    <m/>
    <d v="2026-07-15T00:00:00"/>
    <m/>
    <x v="0"/>
    <m/>
  </r>
  <r>
    <n v="88"/>
    <x v="4"/>
    <d v="2026-07-01T00:00:00"/>
    <s v="Transporte ME"/>
    <x v="85"/>
    <s v="Alessandro Arndt"/>
    <m/>
    <d v="2026-07-17T00:00:00"/>
    <d v="2026-08-01T00:00:00"/>
    <x v="0"/>
    <s v="Efetuar a Locação de 4 Veiculos Com check in 05 e check out dia 8"/>
  </r>
  <r>
    <n v="89"/>
    <x v="4"/>
    <d v="2026-07-01T00:00:00"/>
    <s v="Transporte ME"/>
    <x v="86"/>
    <s v="Alessandro Arndt"/>
    <m/>
    <d v="2026-07-17T00:00:00"/>
    <d v="2026-08-01T00:00:00"/>
    <x v="0"/>
    <s v="Não é viável "/>
  </r>
  <r>
    <n v="90"/>
    <x v="4"/>
    <d v="2026-07-01T00:00:00"/>
    <s v="Transporte ME"/>
    <x v="87"/>
    <s v="Alessandro Arndt"/>
    <m/>
    <d v="2026-07-17T00:00:00"/>
    <d v="2026-08-01T00:00:00"/>
    <x v="0"/>
    <m/>
  </r>
  <r>
    <n v="91"/>
    <x v="4"/>
    <d v="2026-07-01T00:00:00"/>
    <s v="Transporte ME"/>
    <x v="88"/>
    <s v="Ivo Soares"/>
    <m/>
    <d v="2026-07-17T00:00:00"/>
    <d v="2026-08-01T00:00:00"/>
    <x v="0"/>
    <m/>
  </r>
  <r>
    <n v="92"/>
    <x v="4"/>
    <d v="2026-07-01T00:00:00"/>
    <s v="Transporte ME"/>
    <x v="89"/>
    <s v="Alessandro Arndt"/>
    <m/>
    <d v="2026-07-17T00:00:00"/>
    <d v="2026-08-01T00:00:00"/>
    <x v="0"/>
    <m/>
  </r>
  <r>
    <n v="93"/>
    <x v="5"/>
    <d v="2026-07-01T00:00:00"/>
    <s v="Gráfico"/>
    <x v="90"/>
    <s v="Fabio Borges"/>
    <m/>
    <d v="2026-07-31T00:00:00"/>
    <m/>
    <x v="2"/>
    <m/>
  </r>
  <r>
    <n v="94"/>
    <x v="2"/>
    <d v="2026-08-01T00:00:00"/>
    <s v="Crud"/>
    <x v="91"/>
    <s v="Matheus Bruzaca"/>
    <m/>
    <d v="2026-07-31T00:00:00"/>
    <m/>
    <x v="3"/>
    <s v="Idem ação 187"/>
  </r>
  <r>
    <n v="95"/>
    <x v="6"/>
    <d v="2026-07-01T00:00:00"/>
    <s v="Agendamento"/>
    <x v="92"/>
    <s v="Fabio Borges"/>
    <m/>
    <d v="2026-08-01T00:00:00"/>
    <m/>
    <x v="2"/>
    <m/>
  </r>
  <r>
    <n v="96"/>
    <x v="1"/>
    <d v="2026-07-01T00:00:00"/>
    <s v="WallDash"/>
    <x v="93"/>
    <s v="Fabio Borges"/>
    <n v="3"/>
    <s v="31-jul"/>
    <s v="14-jul"/>
    <x v="0"/>
    <m/>
  </r>
  <r>
    <n v="97"/>
    <x v="1"/>
    <d v="2026-07-01T00:00:00"/>
    <s v="Erros"/>
    <x v="94"/>
    <s v="Fabio Borges"/>
    <m/>
    <d v="2026-07-17T00:00:00"/>
    <d v="2026-07-17T00:00:00"/>
    <x v="0"/>
    <m/>
  </r>
  <r>
    <n v="98"/>
    <x v="6"/>
    <s v="jul-26"/>
    <s v="Agendamento"/>
    <x v="95"/>
    <s v="Fabio Borges"/>
    <m/>
    <d v="2026-07-16T00:00:00"/>
    <m/>
    <x v="1"/>
    <m/>
  </r>
  <r>
    <n v="99"/>
    <x v="1"/>
    <d v="2026-07-01T00:00:00"/>
    <s v="WallDash"/>
    <x v="96"/>
    <s v="Fabio Borges"/>
    <m/>
    <d v="2026-07-16T00:00:00"/>
    <d v="2026-04-16T00:00:00"/>
    <x v="0"/>
    <m/>
  </r>
  <r>
    <n v="100"/>
    <x v="1"/>
    <d v="2026-07-01T00:00:00"/>
    <s v="WallDash"/>
    <x v="97"/>
    <s v="Fabio Borges"/>
    <m/>
    <d v="2026-07-16T00:00:00"/>
    <d v="2026-04-16T00:00:00"/>
    <x v="0"/>
    <m/>
  </r>
  <r>
    <n v="101"/>
    <x v="1"/>
    <d v="2026-07-01T00:00:00"/>
    <s v="WallDash"/>
    <x v="98"/>
    <s v="Fabio Borges"/>
    <m/>
    <d v="2026-07-16T00:00:00"/>
    <d v="2026-04-16T00:00:00"/>
    <x v="0"/>
    <m/>
  </r>
  <r>
    <n v="102"/>
    <x v="1"/>
    <d v="2026-07-01T00:00:00"/>
    <s v="Erros"/>
    <x v="99"/>
    <s v="Matheus Bruzaca"/>
    <m/>
    <d v="2026-07-17T00:00:00"/>
    <d v="2026-07-17T00:00:00"/>
    <x v="0"/>
    <m/>
  </r>
  <r>
    <n v="103"/>
    <x v="1"/>
    <d v="2026-07-01T00:00:00"/>
    <s v="Erros"/>
    <x v="100"/>
    <s v="Fabio Borges"/>
    <m/>
    <d v="2026-07-17T00:00:00"/>
    <d v="2026-07-17T00:00:00"/>
    <x v="0"/>
    <m/>
  </r>
  <r>
    <n v="104"/>
    <x v="2"/>
    <d v="2026-08-01T00:00:00"/>
    <s v="APP"/>
    <x v="101"/>
    <s v="Fabio Borges"/>
    <m/>
    <d v="2026-07-17T00:00:00"/>
    <m/>
    <x v="1"/>
    <m/>
  </r>
  <r>
    <n v="105"/>
    <x v="1"/>
    <d v="2026-07-01T00:00:00"/>
    <s v="Web"/>
    <x v="102"/>
    <s v="Matheus Bruzaca"/>
    <m/>
    <d v="2026-07-17T00:00:00"/>
    <d v="2026-07-17T00:00:00"/>
    <x v="0"/>
    <m/>
  </r>
  <r>
    <n v="106"/>
    <x v="2"/>
    <d v="2026-08-01T00:00:00"/>
    <s v="API"/>
    <x v="103"/>
    <s v="Matheus Bruzaca"/>
    <m/>
    <d v="2026-07-17T00:00:00"/>
    <m/>
    <x v="1"/>
    <m/>
  </r>
  <r>
    <n v="107"/>
    <x v="1"/>
    <d v="2026-07-01T00:00:00"/>
    <s v="WallDash"/>
    <x v="104"/>
    <s v="Fabio Borges"/>
    <m/>
    <d v="2026-07-17T00:00:00"/>
    <d v="2026-07-17T00:00:00"/>
    <x v="0"/>
    <m/>
  </r>
  <r>
    <n v="108"/>
    <x v="2"/>
    <d v="2026-08-01T00:00:00"/>
    <s v="Erros"/>
    <x v="105"/>
    <s v="Fabio Borges"/>
    <m/>
    <d v="2026-07-17T00:00:00"/>
    <m/>
    <x v="1"/>
    <m/>
  </r>
  <r>
    <n v="109"/>
    <x v="1"/>
    <d v="2026-07-01T00:00:00"/>
    <s v="Detention"/>
    <x v="106"/>
    <s v="Matheus Bruzaca"/>
    <n v="6"/>
    <d v="2026-07-01T00:00:00"/>
    <d v="2026-07-01T00:00:00"/>
    <x v="0"/>
    <m/>
  </r>
  <r>
    <n v="110"/>
    <x v="1"/>
    <d v="2026-07-01T00:00:00"/>
    <s v="Detention"/>
    <x v="107"/>
    <s v="Matheus Bruzaca"/>
    <n v="3.5"/>
    <d v="2026-07-07T00:00:00"/>
    <d v="2026-07-07T00:00:00"/>
    <x v="0"/>
    <m/>
  </r>
  <r>
    <n v="111"/>
    <x v="1"/>
    <d v="2026-07-01T00:00:00"/>
    <s v="API EVO"/>
    <x v="108"/>
    <s v="Matheus Bruzaca"/>
    <n v="2.5"/>
    <d v="2026-07-10T00:00:00"/>
    <d v="2026-07-10T00:00:00"/>
    <x v="0"/>
    <m/>
  </r>
  <r>
    <n v="112"/>
    <x v="1"/>
    <d v="2026-07-01T00:00:00"/>
    <s v="API EVO"/>
    <x v="109"/>
    <s v="Matheus Bruzaca"/>
    <n v="5"/>
    <d v="2026-07-10T00:00:00"/>
    <d v="2026-07-10T00:00:00"/>
    <x v="0"/>
    <m/>
  </r>
  <r>
    <n v="113"/>
    <x v="1"/>
    <d v="2026-07-01T00:00:00"/>
    <s v="API EVO"/>
    <x v="110"/>
    <s v="Matheus Bruzaca"/>
    <n v="5"/>
    <d v="2026-07-14T00:00:00"/>
    <d v="2026-07-14T00:00:00"/>
    <x v="0"/>
    <m/>
  </r>
  <r>
    <n v="114"/>
    <x v="1"/>
    <d v="2026-07-01T00:00:00"/>
    <s v="API EVO"/>
    <x v="111"/>
    <s v="Matheus Bruzaca"/>
    <n v="5"/>
    <d v="2026-07-15T00:00:00"/>
    <d v="2026-07-15T00:00:00"/>
    <x v="0"/>
    <m/>
  </r>
  <r>
    <n v="115"/>
    <x v="1"/>
    <d v="2026-07-01T00:00:00"/>
    <s v="API EVO"/>
    <x v="112"/>
    <s v="Matheus Bruzaca"/>
    <n v="4"/>
    <d v="2026-07-16T00:00:00"/>
    <d v="2026-07-16T00:00:00"/>
    <x v="0"/>
    <m/>
  </r>
  <r>
    <n v="116"/>
    <x v="1"/>
    <d v="2026-07-01T00:00:00"/>
    <s v="API EVO"/>
    <x v="113"/>
    <s v="Matheus Bruzaca"/>
    <n v="4"/>
    <d v="2026-07-16T00:00:00"/>
    <d v="2026-07-16T00:00:00"/>
    <x v="0"/>
    <m/>
  </r>
  <r>
    <n v="117"/>
    <x v="1"/>
    <d v="2026-07-01T00:00:00"/>
    <s v="WallDash"/>
    <x v="114"/>
    <s v="Fabio Borges"/>
    <n v="3"/>
    <d v="2026-07-14T00:00:00"/>
    <d v="2026-07-14T00:00:00"/>
    <x v="0"/>
    <m/>
  </r>
  <r>
    <n v="118"/>
    <x v="1"/>
    <d v="2026-08-01T00:00:00"/>
    <s v="Geral"/>
    <x v="115"/>
    <s v="Ivo Soares"/>
    <n v="-40"/>
    <d v="2026-08-01T00:00:00"/>
    <d v="2026-08-31T00:00:00"/>
    <x v="0"/>
    <m/>
  </r>
  <r>
    <n v="119"/>
    <x v="1"/>
    <d v="2026-08-01T00:00:00"/>
    <s v="Geral"/>
    <x v="19"/>
    <s v="Ivo Soares"/>
    <n v="-39"/>
    <d v="2026-08-01T00:00:00"/>
    <d v="2026-08-31T00:00:00"/>
    <x v="0"/>
    <m/>
  </r>
  <r>
    <n v="120"/>
    <x v="6"/>
    <d v="2026-07-01T00:00:00"/>
    <s v="Agendamento"/>
    <x v="116"/>
    <s v="Seara"/>
    <m/>
    <d v="2026-07-21T00:00:00"/>
    <m/>
    <x v="1"/>
    <m/>
  </r>
  <r>
    <n v="121"/>
    <x v="6"/>
    <d v="2026-07-01T00:00:00"/>
    <s v="API TCP PARANAGUÁ"/>
    <x v="117"/>
    <s v="Fabio Borges"/>
    <m/>
    <d v="2026-07-21T00:00:00"/>
    <m/>
    <x v="2"/>
    <m/>
  </r>
  <r>
    <n v="122"/>
    <x v="6"/>
    <d v="2026-07-01T00:00:00"/>
    <s v="API TCP"/>
    <x v="118"/>
    <s v="Fabio Borges"/>
    <m/>
    <d v="2026-07-21T00:00:00"/>
    <m/>
    <x v="2"/>
    <m/>
  </r>
  <r>
    <n v="123"/>
    <x v="6"/>
    <d v="2026-07-01T00:00:00"/>
    <s v="API TCP"/>
    <x v="119"/>
    <s v="Fabio Borges"/>
    <m/>
    <d v="2026-07-21T00:00:00"/>
    <m/>
    <x v="2"/>
    <m/>
  </r>
  <r>
    <n v="124"/>
    <x v="6"/>
    <d v="2026-07-01T00:00:00"/>
    <s v="API TCP"/>
    <x v="120"/>
    <s v="Fabio Borges"/>
    <m/>
    <d v="2026-07-21T00:00:00"/>
    <m/>
    <x v="2"/>
    <m/>
  </r>
  <r>
    <n v="125"/>
    <x v="6"/>
    <d v="2026-07-01T00:00:00"/>
    <s v="API TCP"/>
    <x v="121"/>
    <s v="Fabio Borges"/>
    <m/>
    <d v="2026-07-21T00:00:00"/>
    <m/>
    <x v="2"/>
    <m/>
  </r>
  <r>
    <n v="126"/>
    <x v="6"/>
    <d v="2026-07-01T00:00:00"/>
    <s v="API TCP"/>
    <x v="122"/>
    <s v="Fabio Borges"/>
    <m/>
    <d v="2026-07-21T00:00:00"/>
    <m/>
    <x v="2"/>
    <m/>
  </r>
  <r>
    <n v="127"/>
    <x v="6"/>
    <d v="2026-07-01T00:00:00"/>
    <s v="Erros"/>
    <x v="123"/>
    <s v="Fabio Borges"/>
    <m/>
    <d v="2026-07-21T00:00:00"/>
    <m/>
    <x v="1"/>
    <m/>
  </r>
  <r>
    <n v="128"/>
    <x v="6"/>
    <d v="2026-07-01T00:00:00"/>
    <s v="API ITAPOA"/>
    <x v="117"/>
    <s v="Fabio Borges"/>
    <m/>
    <d v="2026-07-21T00:00:00"/>
    <m/>
    <x v="2"/>
    <m/>
  </r>
  <r>
    <n v="129"/>
    <x v="6"/>
    <d v="2026-07-01T00:00:00"/>
    <s v="API ITAPOA"/>
    <x v="118"/>
    <s v="Fabio Borges"/>
    <m/>
    <d v="2026-07-21T00:00:00"/>
    <m/>
    <x v="2"/>
    <m/>
  </r>
  <r>
    <n v="130"/>
    <x v="6"/>
    <d v="2026-07-01T00:00:00"/>
    <s v="API ITAPOA"/>
    <x v="119"/>
    <s v="Fabio Borges"/>
    <m/>
    <d v="2026-07-21T00:00:00"/>
    <m/>
    <x v="2"/>
    <m/>
  </r>
  <r>
    <n v="131"/>
    <x v="6"/>
    <d v="2026-07-01T00:00:00"/>
    <s v="API ITAPOA"/>
    <x v="120"/>
    <s v="Fabio Borges"/>
    <m/>
    <d v="2026-07-21T00:00:00"/>
    <m/>
    <x v="2"/>
    <m/>
  </r>
  <r>
    <n v="132"/>
    <x v="6"/>
    <d v="2026-07-01T00:00:00"/>
    <s v="API ITAPOA"/>
    <x v="121"/>
    <s v="Fabio Borges"/>
    <m/>
    <d v="2026-07-21T00:00:00"/>
    <m/>
    <x v="2"/>
    <m/>
  </r>
  <r>
    <n v="133"/>
    <x v="6"/>
    <d v="2026-07-01T00:00:00"/>
    <s v="API ITAPOA"/>
    <x v="122"/>
    <s v="Fabio Borges"/>
    <m/>
    <d v="2026-07-21T00:00:00"/>
    <m/>
    <x v="2"/>
    <m/>
  </r>
  <r>
    <n v="134"/>
    <x v="6"/>
    <d v="2026-07-01T00:00:00"/>
    <s v="API PORTONAVE"/>
    <x v="117"/>
    <s v="Fabio Borges"/>
    <m/>
    <d v="2026-07-21T00:00:00"/>
    <m/>
    <x v="2"/>
    <m/>
  </r>
  <r>
    <n v="135"/>
    <x v="6"/>
    <d v="2026-07-01T00:00:00"/>
    <s v="API PORTONAVE"/>
    <x v="118"/>
    <s v="Fabio Borges"/>
    <m/>
    <d v="2026-07-21T00:00:00"/>
    <m/>
    <x v="2"/>
    <m/>
  </r>
  <r>
    <n v="136"/>
    <x v="6"/>
    <d v="2026-07-01T00:00:00"/>
    <s v="API PORTONAVE"/>
    <x v="119"/>
    <s v="Fabio Borges"/>
    <m/>
    <d v="2026-07-21T00:00:00"/>
    <m/>
    <x v="2"/>
    <m/>
  </r>
  <r>
    <n v="137"/>
    <x v="6"/>
    <d v="2026-07-01T00:00:00"/>
    <s v="API PORTONAVE"/>
    <x v="120"/>
    <s v="Fabio Borges"/>
    <m/>
    <d v="2026-07-21T00:00:00"/>
    <m/>
    <x v="2"/>
    <m/>
  </r>
  <r>
    <n v="138"/>
    <x v="6"/>
    <d v="2026-07-01T00:00:00"/>
    <s v="API PORTONAVE"/>
    <x v="121"/>
    <s v="Fabio Borges"/>
    <m/>
    <d v="2026-07-21T00:00:00"/>
    <m/>
    <x v="2"/>
    <m/>
  </r>
  <r>
    <n v="139"/>
    <x v="6"/>
    <d v="2026-07-01T00:00:00"/>
    <s v="API PORTONAVE"/>
    <x v="122"/>
    <s v="Fabio Borges"/>
    <m/>
    <d v="2026-07-21T00:00:00"/>
    <m/>
    <x v="2"/>
    <m/>
  </r>
  <r>
    <n v="140"/>
    <x v="6"/>
    <d v="2026-07-01T00:00:00"/>
    <s v="API DPW SANTOS"/>
    <x v="117"/>
    <s v="Fabio Borges"/>
    <m/>
    <d v="2026-07-21T00:00:00"/>
    <m/>
    <x v="2"/>
    <m/>
  </r>
  <r>
    <n v="141"/>
    <x v="6"/>
    <d v="2026-07-01T00:00:00"/>
    <s v="API DPW SANTOS"/>
    <x v="118"/>
    <s v="Fabio Borges"/>
    <m/>
    <d v="2026-07-21T00:00:00"/>
    <m/>
    <x v="2"/>
    <m/>
  </r>
  <r>
    <n v="142"/>
    <x v="6"/>
    <d v="2026-07-01T00:00:00"/>
    <s v="API DPW SANTOS"/>
    <x v="119"/>
    <s v="Fabio Borges"/>
    <m/>
    <d v="2026-07-21T00:00:00"/>
    <m/>
    <x v="2"/>
    <m/>
  </r>
  <r>
    <n v="143"/>
    <x v="6"/>
    <d v="2026-07-01T00:00:00"/>
    <s v="API DPW SANTOS"/>
    <x v="120"/>
    <s v="Fabio Borges"/>
    <m/>
    <d v="2026-07-21T00:00:00"/>
    <m/>
    <x v="2"/>
    <m/>
  </r>
  <r>
    <n v="144"/>
    <x v="6"/>
    <d v="2026-07-01T00:00:00"/>
    <s v="API DPW SANTOS"/>
    <x v="121"/>
    <s v="Fabio Borges"/>
    <m/>
    <d v="2026-07-21T00:00:00"/>
    <m/>
    <x v="2"/>
    <m/>
  </r>
  <r>
    <n v="145"/>
    <x v="6"/>
    <d v="2026-07-01T00:00:00"/>
    <s v="API DPW SANTOS"/>
    <x v="122"/>
    <s v="Fabio Borges"/>
    <m/>
    <d v="2026-07-21T00:00:00"/>
    <m/>
    <x v="2"/>
    <m/>
  </r>
  <r>
    <n v="146"/>
    <x v="6"/>
    <d v="2026-07-01T00:00:00"/>
    <s v="API TECON RIO GRANDE"/>
    <x v="117"/>
    <s v="Fabio Borges"/>
    <m/>
    <d v="2026-07-21T00:00:00"/>
    <m/>
    <x v="2"/>
    <m/>
  </r>
  <r>
    <n v="147"/>
    <x v="6"/>
    <d v="2026-07-01T00:00:00"/>
    <s v="API TECON RIO GRANDE"/>
    <x v="118"/>
    <s v="Fabio Borges"/>
    <m/>
    <d v="2026-07-21T00:00:00"/>
    <m/>
    <x v="2"/>
    <m/>
  </r>
  <r>
    <n v="148"/>
    <x v="6"/>
    <d v="2026-07-01T00:00:00"/>
    <s v="API TECON RIO GRANDE"/>
    <x v="119"/>
    <s v="Fabio Borges"/>
    <m/>
    <d v="2026-07-21T00:00:00"/>
    <m/>
    <x v="2"/>
    <m/>
  </r>
  <r>
    <n v="149"/>
    <x v="6"/>
    <d v="2026-07-01T00:00:00"/>
    <s v="API TECON RIO GRANDE"/>
    <x v="120"/>
    <s v="Fabio Borges"/>
    <m/>
    <d v="2026-07-21T00:00:00"/>
    <m/>
    <x v="2"/>
    <m/>
  </r>
  <r>
    <n v="150"/>
    <x v="6"/>
    <d v="2026-07-01T00:00:00"/>
    <s v="API TECON RIO GRANDE"/>
    <x v="121"/>
    <s v="Fabio Borges"/>
    <m/>
    <d v="2026-07-21T00:00:00"/>
    <m/>
    <x v="2"/>
    <m/>
  </r>
  <r>
    <n v="151"/>
    <x v="6"/>
    <d v="2026-07-01T00:00:00"/>
    <s v="API TECON RIO GRANDE"/>
    <x v="122"/>
    <s v="Fabio Borges"/>
    <m/>
    <d v="2026-07-21T00:00:00"/>
    <m/>
    <x v="2"/>
    <m/>
  </r>
  <r>
    <n v="152"/>
    <x v="6"/>
    <d v="2026-07-01T00:00:00"/>
    <s v="API  JBST "/>
    <x v="117"/>
    <s v="Fabio Borges"/>
    <m/>
    <d v="2026-07-21T00:00:00"/>
    <m/>
    <x v="2"/>
    <m/>
  </r>
  <r>
    <n v="153"/>
    <x v="6"/>
    <d v="2026-07-01T00:00:00"/>
    <s v="API  JBST "/>
    <x v="118"/>
    <s v="Fabio Borges"/>
    <m/>
    <d v="2026-07-21T00:00:00"/>
    <m/>
    <x v="2"/>
    <m/>
  </r>
  <r>
    <n v="154"/>
    <x v="6"/>
    <d v="2026-07-01T00:00:00"/>
    <s v="API  JBST "/>
    <x v="119"/>
    <s v="Fabio Borges"/>
    <m/>
    <d v="2026-07-21T00:00:00"/>
    <m/>
    <x v="2"/>
    <m/>
  </r>
  <r>
    <n v="155"/>
    <x v="6"/>
    <d v="2026-07-01T00:00:00"/>
    <s v="API  JBST "/>
    <x v="120"/>
    <s v="Fabio Borges"/>
    <m/>
    <d v="2026-07-21T00:00:00"/>
    <m/>
    <x v="2"/>
    <m/>
  </r>
  <r>
    <n v="156"/>
    <x v="6"/>
    <d v="2026-07-01T00:00:00"/>
    <s v="API  JBST "/>
    <x v="121"/>
    <s v="Fabio Borges"/>
    <m/>
    <d v="2026-07-21T00:00:00"/>
    <m/>
    <x v="2"/>
    <m/>
  </r>
  <r>
    <n v="157"/>
    <x v="6"/>
    <d v="2026-07-01T00:00:00"/>
    <s v="API  JBST "/>
    <x v="122"/>
    <s v="Fabio Borges"/>
    <m/>
    <d v="2026-07-21T00:00:00"/>
    <m/>
    <x v="2"/>
    <m/>
  </r>
  <r>
    <n v="158"/>
    <x v="6"/>
    <d v="2026-07-01T00:00:00"/>
    <s v="API  IMBITUBA"/>
    <x v="117"/>
    <s v="Fabio Borges"/>
    <m/>
    <d v="2026-07-21T00:00:00"/>
    <m/>
    <x v="2"/>
    <m/>
  </r>
  <r>
    <n v="159"/>
    <x v="6"/>
    <d v="2026-07-01T00:00:00"/>
    <s v="API  IMBITUBA"/>
    <x v="118"/>
    <s v="Fabio Borges"/>
    <m/>
    <d v="2026-07-21T00:00:00"/>
    <m/>
    <x v="2"/>
    <m/>
  </r>
  <r>
    <n v="160"/>
    <x v="6"/>
    <d v="2026-07-01T00:00:00"/>
    <s v="API  IMBITUBA"/>
    <x v="119"/>
    <s v="Fabio Borges"/>
    <m/>
    <d v="2026-07-21T00:00:00"/>
    <m/>
    <x v="2"/>
    <m/>
  </r>
  <r>
    <n v="161"/>
    <x v="6"/>
    <d v="2026-07-01T00:00:00"/>
    <s v="API  IMBITUBA"/>
    <x v="120"/>
    <s v="Fabio Borges"/>
    <m/>
    <d v="2026-07-21T00:00:00"/>
    <m/>
    <x v="2"/>
    <m/>
  </r>
  <r>
    <n v="162"/>
    <x v="6"/>
    <d v="2026-07-01T00:00:00"/>
    <s v="API  IMBITUBA"/>
    <x v="121"/>
    <s v="Fabio Borges"/>
    <m/>
    <d v="2026-07-21T00:00:00"/>
    <m/>
    <x v="2"/>
    <m/>
  </r>
  <r>
    <n v="163"/>
    <x v="6"/>
    <d v="2026-07-01T00:00:00"/>
    <s v="API  IMBITUBA"/>
    <x v="122"/>
    <s v="Fabio Borges"/>
    <m/>
    <d v="2026-07-21T00:00:00"/>
    <m/>
    <x v="2"/>
    <m/>
  </r>
  <r>
    <n v="164"/>
    <x v="6"/>
    <d v="2026-07-01T00:00:00"/>
    <s v="API  SALVADOR"/>
    <x v="117"/>
    <s v="Fabio Borges"/>
    <m/>
    <d v="2026-07-21T00:00:00"/>
    <m/>
    <x v="2"/>
    <m/>
  </r>
  <r>
    <n v="165"/>
    <x v="6"/>
    <d v="2026-07-01T00:00:00"/>
    <s v="API  SALVADOR"/>
    <x v="118"/>
    <s v="Fabio Borges"/>
    <m/>
    <d v="2026-07-21T00:00:00"/>
    <m/>
    <x v="2"/>
    <m/>
  </r>
  <r>
    <n v="166"/>
    <x v="6"/>
    <d v="2026-07-01T00:00:00"/>
    <s v="API  SALVADOR"/>
    <x v="119"/>
    <s v="Fabio Borges"/>
    <m/>
    <d v="2026-07-21T00:00:00"/>
    <m/>
    <x v="2"/>
    <m/>
  </r>
  <r>
    <n v="167"/>
    <x v="6"/>
    <d v="2026-07-01T00:00:00"/>
    <s v="API  SALVADOR"/>
    <x v="120"/>
    <s v="Fabio Borges"/>
    <m/>
    <d v="2026-07-21T00:00:00"/>
    <m/>
    <x v="2"/>
    <m/>
  </r>
  <r>
    <n v="168"/>
    <x v="6"/>
    <d v="2026-07-01T00:00:00"/>
    <s v="API  SALVADOR"/>
    <x v="121"/>
    <s v="Fabio Borges"/>
    <m/>
    <d v="2026-07-21T00:00:00"/>
    <m/>
    <x v="2"/>
    <m/>
  </r>
  <r>
    <n v="169"/>
    <x v="6"/>
    <d v="2026-07-01T00:00:00"/>
    <s v="API  SALVADOR"/>
    <x v="122"/>
    <s v="Fabio Borges"/>
    <m/>
    <d v="2026-07-21T00:00:00"/>
    <m/>
    <x v="2"/>
    <m/>
  </r>
  <r>
    <n v="170"/>
    <x v="6"/>
    <d v="2026-07-01T00:00:00"/>
    <s v="API BTP SANTOS"/>
    <x v="117"/>
    <s v="Fabio Borges"/>
    <m/>
    <d v="2026-07-21T00:00:00"/>
    <m/>
    <x v="2"/>
    <m/>
  </r>
  <r>
    <n v="171"/>
    <x v="6"/>
    <d v="2026-07-01T00:00:00"/>
    <s v="API BTP SANTOS"/>
    <x v="118"/>
    <s v="Fabio Borges"/>
    <m/>
    <d v="2026-07-21T00:00:00"/>
    <m/>
    <x v="2"/>
    <m/>
  </r>
  <r>
    <n v="172"/>
    <x v="6"/>
    <d v="2026-07-01T00:00:00"/>
    <s v="API BTP SANTOS"/>
    <x v="119"/>
    <s v="Fabio Borges"/>
    <m/>
    <d v="2026-07-21T00:00:00"/>
    <m/>
    <x v="2"/>
    <m/>
  </r>
  <r>
    <n v="173"/>
    <x v="6"/>
    <d v="2026-07-01T00:00:00"/>
    <s v="API BTP SANTOS"/>
    <x v="120"/>
    <s v="Fabio Borges"/>
    <m/>
    <d v="2026-07-21T00:00:00"/>
    <m/>
    <x v="2"/>
    <m/>
  </r>
  <r>
    <n v="174"/>
    <x v="6"/>
    <d v="2026-07-01T00:00:00"/>
    <s v="API BTP SANTOS"/>
    <x v="121"/>
    <s v="Fabio Borges"/>
    <m/>
    <d v="2026-07-21T00:00:00"/>
    <m/>
    <x v="2"/>
    <m/>
  </r>
  <r>
    <n v="175"/>
    <x v="6"/>
    <d v="2026-07-01T00:00:00"/>
    <s v="API BTP SANTOS"/>
    <x v="122"/>
    <s v="Fabio Borges"/>
    <m/>
    <d v="2026-07-21T00:00:00"/>
    <m/>
    <x v="2"/>
    <m/>
  </r>
  <r>
    <n v="176"/>
    <x v="1"/>
    <d v="2026-07-01T00:00:00"/>
    <s v="Erros"/>
    <x v="124"/>
    <s v="Fabio Borges"/>
    <m/>
    <d v="2026-07-22T00:00:00"/>
    <d v="2026-07-27T00:00:00"/>
    <x v="0"/>
    <m/>
  </r>
  <r>
    <n v="177"/>
    <x v="2"/>
    <d v="2026-08-01T00:00:00"/>
    <s v="Erros"/>
    <x v="125"/>
    <s v="Fabio Borges"/>
    <m/>
    <d v="2026-07-28T00:00:00"/>
    <m/>
    <x v="1"/>
    <m/>
  </r>
  <r>
    <n v="178"/>
    <x v="5"/>
    <d v="2026-07-01T00:00:00"/>
    <s v="Gráfico"/>
    <x v="126"/>
    <s v="Fabio Borges"/>
    <m/>
    <d v="2026-07-28T00:00:00"/>
    <m/>
    <x v="1"/>
    <m/>
  </r>
  <r>
    <n v="179"/>
    <x v="5"/>
    <d v="2026-07-01T00:00:00"/>
    <s v="Gráfico"/>
    <x v="127"/>
    <s v="Fabio Borges"/>
    <m/>
    <d v="2026-07-28T00:00:00"/>
    <m/>
    <x v="1"/>
    <m/>
  </r>
  <r>
    <n v="180"/>
    <x v="7"/>
    <d v="2026-07-01T00:00:00"/>
    <s v="Demandas"/>
    <x v="128"/>
    <s v="Ivo Soares"/>
    <m/>
    <d v="2026-07-28T00:00:00"/>
    <m/>
    <x v="1"/>
    <m/>
  </r>
  <r>
    <n v="181"/>
    <x v="7"/>
    <d v="2026-07-01T00:00:00"/>
    <s v="Demandas"/>
    <x v="129"/>
    <s v="Ivo Soares"/>
    <m/>
    <d v="2026-07-30T00:00:00"/>
    <m/>
    <x v="1"/>
    <m/>
  </r>
  <r>
    <n v="182"/>
    <x v="5"/>
    <d v="2026-07-01T00:00:00"/>
    <s v="Gráfico"/>
    <x v="130"/>
    <s v="Ivo Soares"/>
    <m/>
    <d v="2026-07-30T00:00:00"/>
    <m/>
    <x v="1"/>
    <m/>
  </r>
  <r>
    <n v="183"/>
    <x v="3"/>
    <s v="jul-26"/>
    <s v="Customer Service"/>
    <x v="131"/>
    <s v="Junior Brustolin"/>
    <m/>
    <s v="10-jul"/>
    <d v="2026-07-30T00:00:00"/>
    <x v="0"/>
    <m/>
  </r>
  <r>
    <n v="184"/>
    <x v="3"/>
    <s v="jul-26"/>
    <s v="Planejamento"/>
    <x v="132"/>
    <s v="Rafael Morais"/>
    <m/>
    <d v="2026-07-30T00:00:00"/>
    <m/>
    <x v="1"/>
    <m/>
  </r>
  <r>
    <n v="185"/>
    <x v="5"/>
    <s v="jul-26"/>
    <s v="Gráfico"/>
    <x v="133"/>
    <s v="Fabio Borges"/>
    <m/>
    <d v="2026-07-30T00:00:00"/>
    <m/>
    <x v="1"/>
    <m/>
  </r>
  <r>
    <n v="186"/>
    <x v="2"/>
    <d v="2026-08-01T00:00:00"/>
    <s v="Gestão de Pátio"/>
    <x v="134"/>
    <s v="Matheus Bruzaca"/>
    <m/>
    <d v="2026-07-31T00:00:00"/>
    <m/>
    <x v="1"/>
    <m/>
  </r>
  <r>
    <n v="187"/>
    <x v="2"/>
    <d v="2026-08-01T00:00:00"/>
    <s v="Crud"/>
    <x v="135"/>
    <s v="Matheus Bruzaca"/>
    <m/>
    <d v="2026-07-31T00:00:00"/>
    <m/>
    <x v="1"/>
    <m/>
  </r>
  <r>
    <n v="188"/>
    <x v="0"/>
    <s v="jul-26"/>
    <s v="Operação Seara"/>
    <x v="136"/>
    <s v="Bruno Mendes"/>
    <m/>
    <d v="2026-07-31T00:00:00"/>
    <m/>
    <x v="1"/>
    <m/>
  </r>
  <r>
    <n v="189"/>
    <x v="0"/>
    <s v="jul-26"/>
    <s v="Operação Seara"/>
    <x v="137"/>
    <s v="Bruno Mendes"/>
    <m/>
    <d v="2026-07-31T00:00:00"/>
    <m/>
    <x v="1"/>
    <m/>
  </r>
  <r>
    <n v="190"/>
    <x v="0"/>
    <s v="jul-26"/>
    <s v="Operação Seara"/>
    <x v="138"/>
    <s v="Ivo Soares"/>
    <m/>
    <d v="2026-07-31T00:00:00"/>
    <m/>
    <x v="1"/>
    <m/>
  </r>
  <r>
    <n v="191"/>
    <x v="8"/>
    <d v="2026-08-01T00:00:00"/>
    <s v="IA"/>
    <x v="139"/>
    <m/>
    <m/>
    <d v="2026-08-10T00:00:00"/>
    <m/>
    <x v="2"/>
    <m/>
  </r>
  <r>
    <n v="192"/>
    <x v="2"/>
    <d v="2026-08-01T00:00:00"/>
    <s v="Erros"/>
    <x v="140"/>
    <s v="Matheus Bruzaca"/>
    <m/>
    <d v="2026-08-10T00:00:00"/>
    <m/>
    <x v="0"/>
    <m/>
  </r>
  <r>
    <n v="193"/>
    <x v="9"/>
    <d v="2026-08-01T00:00:00"/>
    <s v="Engenharia"/>
    <x v="141"/>
    <s v="Engenharia"/>
    <m/>
    <d v="2026-03-05T00:00:00"/>
    <d v="2026-03-05T00:00:00"/>
    <x v="0"/>
    <m/>
  </r>
  <r>
    <n v="194"/>
    <x v="9"/>
    <d v="2026-08-01T00:00:00"/>
    <s v="Transporte ME"/>
    <x v="142"/>
    <s v="Pedro Neto"/>
    <m/>
    <d v="2026-03-05T00:00:00"/>
    <d v="2026-03-05T00:00:00"/>
    <x v="0"/>
    <m/>
  </r>
  <r>
    <n v="195"/>
    <x v="9"/>
    <d v="2026-08-01T00:00:00"/>
    <s v="Transporte ME"/>
    <x v="143"/>
    <s v="Luiz Garcia"/>
    <m/>
    <d v="2026-03-05T00:00:00"/>
    <d v="2026-03-05T00:00:00"/>
    <x v="0"/>
    <s v="Precisa ser feita permuta da demanda 121079."/>
  </r>
  <r>
    <n v="196"/>
    <x v="9"/>
    <d v="2026-08-01T00:00:00"/>
    <s v="Engenharia"/>
    <x v="144"/>
    <s v="Ivo Soares"/>
    <m/>
    <d v="2026-03-05T00:00:00"/>
    <d v="2026-03-05T00:00:00"/>
    <x v="0"/>
    <s v="121079/145881"/>
  </r>
  <r>
    <n v="197"/>
    <x v="9"/>
    <d v="2026-08-01T00:00:00"/>
    <s v="Transporte ME"/>
    <x v="145"/>
    <s v="Ivo Soares"/>
    <m/>
    <d v="2026-03-05T00:00:00"/>
    <d v="2026-03-05T00:00:00"/>
    <x v="0"/>
    <m/>
  </r>
  <r>
    <n v="198"/>
    <x v="9"/>
    <d v="2026-08-01T00:00:00"/>
    <s v="Engenharia"/>
    <x v="146"/>
    <s v="Engenharia"/>
    <m/>
    <d v="2026-03-05T00:00:00"/>
    <m/>
    <x v="1"/>
    <m/>
  </r>
  <r>
    <n v="199"/>
    <x v="10"/>
    <d v="2026-08-01T00:00:00"/>
    <s v="Transporte ME"/>
    <x v="142"/>
    <s v="Pedro Neto"/>
    <m/>
    <d v="2026-02-25T00:00:00"/>
    <d v="2026-02-25T00:00:00"/>
    <x v="0"/>
    <m/>
  </r>
  <r>
    <n v="200"/>
    <x v="10"/>
    <d v="2026-08-01T00:00:00"/>
    <s v="Transporte ME"/>
    <x v="147"/>
    <s v="Ivo Soares"/>
    <m/>
    <d v="2026-02-26T00:00:00"/>
    <m/>
    <x v="1"/>
    <m/>
  </r>
  <r>
    <n v="201"/>
    <x v="10"/>
    <d v="2026-08-01T00:00:00"/>
    <s v="Transporte ME"/>
    <x v="143"/>
    <s v="Luiz Garcia"/>
    <m/>
    <d v="2026-02-25T00:00:00"/>
    <d v="2026-02-25T00:00:00"/>
    <x v="0"/>
    <m/>
  </r>
  <r>
    <n v="202"/>
    <x v="10"/>
    <d v="2026-08-01T00:00:00"/>
    <s v="Engenharia"/>
    <x v="141"/>
    <s v="Engenharia"/>
    <m/>
    <d v="2026-02-25T00:00:00"/>
    <d v="2026-02-25T00:00:00"/>
    <x v="0"/>
    <m/>
  </r>
  <r>
    <n v="203"/>
    <x v="10"/>
    <d v="2026-08-01T00:00:00"/>
    <s v="Engenharia"/>
    <x v="144"/>
    <s v="Engenharia"/>
    <m/>
    <d v="2026-02-25T00:00:00"/>
    <d v="2026-02-25T00:00:00"/>
    <x v="0"/>
    <m/>
  </r>
  <r>
    <n v="204"/>
    <x v="10"/>
    <d v="2026-08-01T00:00:00"/>
    <s v="Engenharia"/>
    <x v="146"/>
    <s v="Engenharia"/>
    <m/>
    <d v="2026-04-10T00:00:00"/>
    <d v="2026-04-10T00:00:00"/>
    <x v="0"/>
    <m/>
  </r>
  <r>
    <n v="205"/>
    <x v="10"/>
    <d v="2026-08-01T00:00:00"/>
    <s v="Engenharia"/>
    <x v="148"/>
    <s v="Engenharia"/>
    <m/>
    <d v="2026-04-27T00:00:00"/>
    <m/>
    <x v="1"/>
    <m/>
  </r>
  <r>
    <n v="206"/>
    <x v="11"/>
    <d v="2026-04-01T00:00:00"/>
    <s v="Newco Bebedouro"/>
    <x v="149"/>
    <s v="Ivo Soares"/>
    <m/>
    <d v="2026-04-27T15:28:58"/>
    <d v="2026-04-27T15:28:58"/>
    <x v="3"/>
    <s v="N/A"/>
  </r>
  <r>
    <n v="207"/>
    <x v="11"/>
    <d v="2026-04-01T00:00:00"/>
    <s v="Newco Bebedouro"/>
    <x v="150"/>
    <s v="Ivo Soares"/>
    <m/>
    <d v="2026-04-27T15:28:58"/>
    <d v="2026-04-27T15:28:58"/>
    <x v="3"/>
    <s v="N/A"/>
  </r>
  <r>
    <n v="208"/>
    <x v="11"/>
    <d v="2026-04-01T00:00:00"/>
    <s v="Newco Bebedouro"/>
    <x v="151"/>
    <s v="Ivo Soares"/>
    <m/>
    <d v="2026-04-27T15:28:58"/>
    <d v="2026-04-27T15:28:58"/>
    <x v="3"/>
    <s v="N/A"/>
  </r>
  <r>
    <n v="209"/>
    <x v="11"/>
    <d v="2026-04-01T00:00:00"/>
    <s v="Newco Bebedouro"/>
    <x v="152"/>
    <s v="Ivo Soares"/>
    <m/>
    <d v="2026-04-27T15:28:59"/>
    <d v="2026-04-27T15:28:59"/>
    <x v="3"/>
    <s v="N/A"/>
  </r>
  <r>
    <n v="210"/>
    <x v="11"/>
    <d v="2026-04-01T00:00:00"/>
    <s v="Newco Bebedouro"/>
    <x v="153"/>
    <s v="Ivo Soares"/>
    <m/>
    <d v="2026-04-27T15:28:59"/>
    <d v="2026-04-27T15:28:59"/>
    <x v="3"/>
    <s v="N/A"/>
  </r>
  <r>
    <n v="211"/>
    <x v="11"/>
    <d v="2026-04-01T00:00:00"/>
    <s v="Newco Bebedouro"/>
    <x v="154"/>
    <s v="Ivo Soares"/>
    <m/>
    <d v="2026-04-27T15:29:01"/>
    <d v="2026-04-27T15:29:01"/>
    <x v="3"/>
    <s v="N/A"/>
  </r>
  <r>
    <n v="212"/>
    <x v="11"/>
    <d v="2026-04-01T00:00:00"/>
    <s v="Newco Bebedouro"/>
    <x v="155"/>
    <s v="Ivo Soares"/>
    <m/>
    <d v="2026-04-27T15:29:02"/>
    <d v="2026-04-27T15:29:02"/>
    <x v="0"/>
    <m/>
  </r>
  <r>
    <n v="213"/>
    <x v="11"/>
    <d v="2026-04-01T00:00:00"/>
    <s v="Newco Bebedouro"/>
    <x v="156"/>
    <s v="Ivo Soares"/>
    <m/>
    <d v="2026-04-27T15:29:02"/>
    <d v="2026-04-27T15:29:02"/>
    <x v="0"/>
    <m/>
  </r>
  <r>
    <n v="214"/>
    <x v="11"/>
    <d v="2026-04-01T00:00:00"/>
    <s v="Newco Bebedouro"/>
    <x v="157"/>
    <s v="Ivo Soares"/>
    <m/>
    <d v="2026-04-27T15:29:02"/>
    <d v="2026-04-27T15:29:02"/>
    <x v="0"/>
    <s v="Pendente LP"/>
  </r>
  <r>
    <n v="215"/>
    <x v="11"/>
    <d v="2026-04-01T00:00:00"/>
    <s v="Newco Bebedouro"/>
    <x v="158"/>
    <s v="Ivo Soares"/>
    <m/>
    <d v="2026-04-27T15:29:02"/>
    <d v="2026-04-27T15:29:02"/>
    <x v="0"/>
    <m/>
  </r>
  <r>
    <n v="216"/>
    <x v="11"/>
    <d v="2026-04-01T00:00:00"/>
    <s v="Newco Bebedouro"/>
    <x v="159"/>
    <s v="Ivo Soares"/>
    <m/>
    <d v="2026-04-27T15:29:02"/>
    <d v="2026-04-27T15:29:02"/>
    <x v="0"/>
    <m/>
  </r>
  <r>
    <n v="217"/>
    <x v="11"/>
    <d v="2026-04-01T00:00:00"/>
    <s v="Newco Bebedouro"/>
    <x v="160"/>
    <s v="Ivo Soares"/>
    <m/>
    <d v="2026-04-27T15:29:02"/>
    <d v="2026-04-27T15:29:02"/>
    <x v="0"/>
    <m/>
  </r>
  <r>
    <n v="218"/>
    <x v="11"/>
    <d v="2026-04-01T00:00:00"/>
    <s v="Newco Bebedouro"/>
    <x v="161"/>
    <s v="Ivo Soares"/>
    <m/>
    <d v="2026-04-27T15:29:03"/>
    <d v="2026-04-27T15:29:03"/>
    <x v="0"/>
    <m/>
  </r>
  <r>
    <n v="219"/>
    <x v="11"/>
    <d v="2026-04-01T00:00:00"/>
    <s v="Newco Bebedouro"/>
    <x v="162"/>
    <s v="Ivo Soares"/>
    <m/>
    <d v="2026-04-27T15:29:03"/>
    <d v="2026-04-27T15:29:03"/>
    <x v="0"/>
    <m/>
  </r>
  <r>
    <n v="220"/>
    <x v="11"/>
    <d v="2026-04-01T00:00:00"/>
    <s v="Newco Bebedouro"/>
    <x v="163"/>
    <s v="Ivo Soares"/>
    <m/>
    <d v="2026-04-27T15:29:03"/>
    <d v="2026-04-27T15:29:03"/>
    <x v="0"/>
    <m/>
  </r>
  <r>
    <n v="221"/>
    <x v="11"/>
    <d v="2026-04-01T00:00:00"/>
    <s v="Newco Bebedouro"/>
    <x v="164"/>
    <s v="Ivo Soares"/>
    <m/>
    <d v="2026-04-27T15:29:03"/>
    <d v="2026-04-27T15:29:03"/>
    <x v="0"/>
    <m/>
  </r>
  <r>
    <n v="222"/>
    <x v="11"/>
    <d v="2026-04-01T00:00:00"/>
    <s v="Newco Bebedouro"/>
    <x v="165"/>
    <s v="Ivo Soares"/>
    <m/>
    <d v="2026-04-27T15:29:03"/>
    <d v="2026-04-27T15:29:03"/>
    <x v="0"/>
    <m/>
  </r>
  <r>
    <n v="223"/>
    <x v="11"/>
    <d v="2026-04-01T00:00:00"/>
    <s v="Newco Bebedouro"/>
    <x v="166"/>
    <s v="Ivo Soares"/>
    <m/>
    <d v="2026-04-27T15:29:03"/>
    <d v="2026-04-27T15:29:03"/>
    <x v="0"/>
    <m/>
  </r>
  <r>
    <n v="224"/>
    <x v="11"/>
    <d v="2026-04-01T00:00:00"/>
    <s v="Newco Bebedouro"/>
    <x v="167"/>
    <s v="Ivo Soares"/>
    <m/>
    <d v="2026-04-27T15:29:04"/>
    <d v="2026-04-27T15:29:04"/>
    <x v="0"/>
    <m/>
  </r>
  <r>
    <n v="225"/>
    <x v="11"/>
    <d v="2026-04-01T00:00:00"/>
    <s v="Newco Bebedouro"/>
    <x v="168"/>
    <s v="Ivo Soares"/>
    <m/>
    <d v="2026-04-27T15:29:04"/>
    <d v="2026-04-27T15:29:04"/>
    <x v="0"/>
    <m/>
  </r>
  <r>
    <n v="226"/>
    <x v="11"/>
    <d v="2026-04-01T00:00:00"/>
    <s v="Newco Bebedouro"/>
    <x v="169"/>
    <s v="Ivo Soares"/>
    <m/>
    <d v="2026-04-27T15:29:04"/>
    <d v="2026-04-27T15:29:04"/>
    <x v="0"/>
    <m/>
  </r>
  <r>
    <n v="227"/>
    <x v="11"/>
    <d v="2026-04-01T00:00:00"/>
    <s v="Newco Bebedouro"/>
    <x v="170"/>
    <s v="Ivo Soares"/>
    <m/>
    <d v="2026-04-27T15:29:04"/>
    <d v="2026-04-27T15:29:04"/>
    <x v="0"/>
    <m/>
  </r>
  <r>
    <n v="228"/>
    <x v="11"/>
    <d v="2026-04-01T00:00:00"/>
    <s v="Newco Bebedouro"/>
    <x v="171"/>
    <s v="Ivo Soares"/>
    <m/>
    <d v="2026-04-27T15:29:04"/>
    <d v="2026-04-27T15:29:04"/>
    <x v="0"/>
    <m/>
  </r>
  <r>
    <n v="229"/>
    <x v="11"/>
    <d v="2026-04-01T00:00:00"/>
    <s v="Newco Bebedouro"/>
    <x v="172"/>
    <s v="Ivo Soares"/>
    <m/>
    <d v="2026-04-27T15:29:05"/>
    <d v="2026-04-27T15:29:05"/>
    <x v="0"/>
    <m/>
  </r>
  <r>
    <n v="230"/>
    <x v="11"/>
    <d v="2026-04-01T00:00:00"/>
    <s v="Newco Bebedouro"/>
    <x v="173"/>
    <s v="Ivo Soares"/>
    <m/>
    <d v="2026-04-27T15:29:05"/>
    <d v="2026-04-27T15:29:05"/>
    <x v="0"/>
    <m/>
  </r>
  <r>
    <n v="231"/>
    <x v="11"/>
    <d v="2026-04-01T00:00:00"/>
    <s v="Newco Bebedouro"/>
    <x v="174"/>
    <s v="Ivo Soares"/>
    <m/>
    <d v="2026-04-27T15:29:05"/>
    <d v="2026-04-27T15:29:05"/>
    <x v="0"/>
    <s v="pendente filial 323"/>
  </r>
  <r>
    <n v="232"/>
    <x v="11"/>
    <d v="2026-04-01T00:00:00"/>
    <s v="Newco Bebedouro"/>
    <x v="175"/>
    <s v="Ivo Soares"/>
    <m/>
    <d v="2026-04-27T15:29:05"/>
    <d v="2026-04-27T15:29:05"/>
    <x v="3"/>
    <s v="Será realizado na implatação"/>
  </r>
  <r>
    <n v="233"/>
    <x v="11"/>
    <d v="2026-04-01T00:00:00"/>
    <s v="Newco Bebedouro"/>
    <x v="176"/>
    <s v="Ivo Soares"/>
    <m/>
    <d v="2026-04-27T15:29:05"/>
    <d v="2026-04-27T15:29:05"/>
    <x v="3"/>
    <s v="Será realizado na implatação"/>
  </r>
  <r>
    <n v="234"/>
    <x v="11"/>
    <d v="2026-04-01T00:00:00"/>
    <s v="Newco Bebedouro"/>
    <x v="177"/>
    <s v="Ivo Soares"/>
    <m/>
    <d v="2026-04-27T15:29:05"/>
    <d v="2026-04-27T15:29:05"/>
    <x v="0"/>
    <m/>
  </r>
  <r>
    <n v="235"/>
    <x v="11"/>
    <d v="2026-04-01T00:00:00"/>
    <s v="Newco Bebedouro"/>
    <x v="178"/>
    <s v="Ivo Soares"/>
    <m/>
    <d v="2026-04-27T15:29:06"/>
    <d v="2026-04-27T15:29:06"/>
    <x v="0"/>
    <m/>
  </r>
  <r>
    <n v="236"/>
    <x v="11"/>
    <d v="2026-04-01T00:00:00"/>
    <s v="Newco Bebedouro"/>
    <x v="179"/>
    <s v="Ivo Soares"/>
    <m/>
    <d v="2026-04-27T15:29:06"/>
    <d v="2026-04-27T15:29:06"/>
    <x v="0"/>
    <m/>
  </r>
  <r>
    <n v="237"/>
    <x v="11"/>
    <d v="2026-04-01T00:00:00"/>
    <s v="Newco Bebedouro"/>
    <x v="180"/>
    <s v="Ivo Soares"/>
    <m/>
    <d v="2026-04-27T15:29:06"/>
    <d v="2026-04-27T15:29:06"/>
    <x v="0"/>
    <m/>
  </r>
  <r>
    <n v="238"/>
    <x v="11"/>
    <d v="2026-04-01T00:00:00"/>
    <s v="Newco Bebedouro"/>
    <x v="181"/>
    <s v="Ivo Soares"/>
    <m/>
    <d v="2026-04-27T15:29:07"/>
    <d v="2026-04-27T15:29:07"/>
    <x v="0"/>
    <m/>
  </r>
  <r>
    <n v="239"/>
    <x v="11"/>
    <d v="2026-04-01T00:00:00"/>
    <s v="Newco Bebedouro"/>
    <x v="182"/>
    <s v="Ivo Soares"/>
    <m/>
    <d v="2026-04-27T15:29:07"/>
    <d v="2026-04-27T15:29:07"/>
    <x v="0"/>
    <m/>
  </r>
  <r>
    <n v="240"/>
    <x v="11"/>
    <d v="2026-04-01T00:00:00"/>
    <s v="Newco Bebedouro"/>
    <x v="183"/>
    <s v="Ivo Soares"/>
    <m/>
    <d v="2026-04-27T15:29:07"/>
    <d v="2026-04-27T15:29:07"/>
    <x v="0"/>
    <m/>
  </r>
  <r>
    <n v="241"/>
    <x v="11"/>
    <d v="2026-04-01T00:00:00"/>
    <s v="Newco Bebedouro"/>
    <x v="184"/>
    <s v="Ivo Soares"/>
    <m/>
    <d v="2026-04-27T15:29:07"/>
    <d v="2026-04-27T15:29:07"/>
    <x v="0"/>
    <m/>
  </r>
  <r>
    <n v="242"/>
    <x v="11"/>
    <d v="2026-04-01T00:00:00"/>
    <s v="Newco Bebedouro"/>
    <x v="185"/>
    <s v="Ivo Soares"/>
    <m/>
    <d v="2026-04-27T15:30:32"/>
    <d v="2026-06-22T14:22:07"/>
    <x v="0"/>
    <m/>
  </r>
  <r>
    <n v="243"/>
    <x v="12"/>
    <d v="2026-04-01T00:00:00"/>
    <s v="Newco Campinas"/>
    <x v="149"/>
    <s v="Ivo Soares"/>
    <m/>
    <d v="2026-04-27T15:28:58"/>
    <d v="2026-04-27T15:28:58"/>
    <x v="3"/>
    <m/>
  </r>
  <r>
    <n v="244"/>
    <x v="12"/>
    <d v="2026-04-01T00:00:00"/>
    <s v="Newco Campinas"/>
    <x v="150"/>
    <s v="Ivo Soares"/>
    <m/>
    <d v="2026-04-27T15:28:58"/>
    <d v="2026-04-27T15:28:58"/>
    <x v="3"/>
    <m/>
  </r>
  <r>
    <n v="245"/>
    <x v="12"/>
    <d v="2026-04-01T00:00:00"/>
    <s v="Newco Campinas"/>
    <x v="151"/>
    <s v="Ivo Soares"/>
    <m/>
    <d v="2026-04-27T15:28:58"/>
    <d v="2026-04-27T15:28:58"/>
    <x v="3"/>
    <m/>
  </r>
  <r>
    <n v="246"/>
    <x v="12"/>
    <d v="2026-04-01T00:00:00"/>
    <s v="Newco Campinas"/>
    <x v="152"/>
    <s v="Ivo Soares"/>
    <m/>
    <d v="2026-04-27T15:28:59"/>
    <d v="2026-04-27T15:28:59"/>
    <x v="3"/>
    <m/>
  </r>
  <r>
    <n v="247"/>
    <x v="12"/>
    <d v="2026-04-01T00:00:00"/>
    <s v="Newco Campinas"/>
    <x v="153"/>
    <s v="Ivo Soares"/>
    <m/>
    <d v="2026-04-27T15:28:59"/>
    <d v="2026-04-27T15:28:59"/>
    <x v="3"/>
    <m/>
  </r>
  <r>
    <n v="248"/>
    <x v="12"/>
    <d v="2026-04-01T00:00:00"/>
    <s v="Newco Campinas"/>
    <x v="154"/>
    <s v="Ivo Soares"/>
    <m/>
    <d v="2026-04-27T15:29:01"/>
    <d v="2026-04-27T15:29:01"/>
    <x v="3"/>
    <m/>
  </r>
  <r>
    <n v="249"/>
    <x v="12"/>
    <d v="2026-04-01T00:00:00"/>
    <s v="Newco Campinas"/>
    <x v="155"/>
    <s v="Ivo Soares"/>
    <m/>
    <d v="2026-04-27T15:29:02"/>
    <d v="2026-04-27T15:29:02"/>
    <x v="0"/>
    <m/>
  </r>
  <r>
    <n v="250"/>
    <x v="12"/>
    <d v="2026-04-01T00:00:00"/>
    <s v="Newco Campinas"/>
    <x v="156"/>
    <s v="Ivo Soares"/>
    <m/>
    <d v="2026-04-27T15:29:02"/>
    <d v="2026-04-27T15:29:02"/>
    <x v="0"/>
    <m/>
  </r>
  <r>
    <n v="251"/>
    <x v="12"/>
    <d v="2026-04-01T00:00:00"/>
    <s v="Newco Campinas"/>
    <x v="157"/>
    <s v="Ivo Soares"/>
    <m/>
    <d v="2026-04-27T15:29:02"/>
    <d v="2026-04-27T15:29:02"/>
    <x v="0"/>
    <m/>
  </r>
  <r>
    <n v="252"/>
    <x v="12"/>
    <d v="2026-04-01T00:00:00"/>
    <s v="Newco Campinas"/>
    <x v="158"/>
    <s v="Ivo Soares"/>
    <m/>
    <d v="2026-04-27T15:29:02"/>
    <d v="2026-04-27T15:29:02"/>
    <x v="0"/>
    <m/>
  </r>
  <r>
    <n v="253"/>
    <x v="12"/>
    <d v="2026-04-01T00:00:00"/>
    <s v="Newco Campinas"/>
    <x v="159"/>
    <s v="Ivo Soares"/>
    <m/>
    <d v="2026-04-27T15:29:02"/>
    <d v="2026-04-27T15:29:02"/>
    <x v="0"/>
    <m/>
  </r>
  <r>
    <n v="254"/>
    <x v="12"/>
    <d v="2026-04-01T00:00:00"/>
    <s v="Newco Campinas"/>
    <x v="160"/>
    <s v="Ivo Soares"/>
    <m/>
    <d v="2026-04-27T15:29:02"/>
    <d v="2026-04-27T15:29:02"/>
    <x v="0"/>
    <m/>
  </r>
  <r>
    <n v="255"/>
    <x v="12"/>
    <d v="2026-04-01T00:00:00"/>
    <s v="Newco Campinas"/>
    <x v="161"/>
    <s v="Ivo Soares"/>
    <m/>
    <d v="2026-04-27T15:29:03"/>
    <d v="2026-04-27T15:29:03"/>
    <x v="0"/>
    <m/>
  </r>
  <r>
    <n v="256"/>
    <x v="12"/>
    <d v="2026-04-01T00:00:00"/>
    <s v="Newco Campinas"/>
    <x v="162"/>
    <s v="Ivo Soares"/>
    <m/>
    <d v="2026-04-27T15:29:03"/>
    <d v="2026-04-27T15:29:03"/>
    <x v="0"/>
    <m/>
  </r>
  <r>
    <n v="257"/>
    <x v="12"/>
    <d v="2026-04-01T00:00:00"/>
    <s v="Newco Campinas"/>
    <x v="163"/>
    <s v="Ivo Soares"/>
    <m/>
    <d v="2026-04-27T15:29:03"/>
    <d v="2026-04-27T15:29:03"/>
    <x v="0"/>
    <m/>
  </r>
  <r>
    <n v="258"/>
    <x v="12"/>
    <d v="2026-04-01T00:00:00"/>
    <s v="Newco Campinas"/>
    <x v="164"/>
    <s v="Ivo Soares"/>
    <m/>
    <d v="2026-04-27T15:29:03"/>
    <d v="2026-04-27T15:29:03"/>
    <x v="0"/>
    <m/>
  </r>
  <r>
    <n v="259"/>
    <x v="12"/>
    <d v="2026-04-01T00:00:00"/>
    <s v="Newco Campinas"/>
    <x v="165"/>
    <s v="Ivo Soares"/>
    <m/>
    <d v="2026-04-27T15:29:03"/>
    <d v="2026-04-27T15:29:03"/>
    <x v="0"/>
    <m/>
  </r>
  <r>
    <n v="260"/>
    <x v="12"/>
    <d v="2026-04-01T00:00:00"/>
    <s v="Newco Campinas"/>
    <x v="166"/>
    <s v="Ivo Soares"/>
    <m/>
    <d v="2026-04-27T15:29:03"/>
    <d v="2026-04-27T15:29:03"/>
    <x v="0"/>
    <m/>
  </r>
  <r>
    <n v="261"/>
    <x v="12"/>
    <d v="2026-04-01T00:00:00"/>
    <s v="Newco Campinas"/>
    <x v="167"/>
    <s v="Ivo Soares"/>
    <m/>
    <d v="2026-04-27T15:29:04"/>
    <d v="2026-04-27T15:29:04"/>
    <x v="0"/>
    <m/>
  </r>
  <r>
    <n v="262"/>
    <x v="12"/>
    <d v="2026-04-01T00:00:00"/>
    <s v="Newco Campinas"/>
    <x v="168"/>
    <s v="Ivo Soares"/>
    <m/>
    <d v="2026-04-27T15:29:04"/>
    <d v="2026-04-27T15:29:04"/>
    <x v="0"/>
    <m/>
  </r>
  <r>
    <n v="263"/>
    <x v="12"/>
    <d v="2026-04-01T00:00:00"/>
    <s v="Newco Campinas"/>
    <x v="169"/>
    <s v="Ivo Soares"/>
    <m/>
    <d v="2026-04-27T15:29:04"/>
    <d v="2026-04-27T15:29:04"/>
    <x v="0"/>
    <m/>
  </r>
  <r>
    <n v="264"/>
    <x v="12"/>
    <d v="2026-04-01T00:00:00"/>
    <s v="Newco Campinas"/>
    <x v="170"/>
    <s v="Ivo Soares"/>
    <m/>
    <d v="2026-04-27T15:29:04"/>
    <d v="2026-04-27T15:29:04"/>
    <x v="0"/>
    <m/>
  </r>
  <r>
    <n v="265"/>
    <x v="12"/>
    <d v="2026-04-01T00:00:00"/>
    <s v="Newco Campinas"/>
    <x v="171"/>
    <s v="Ivo Soares"/>
    <m/>
    <d v="2026-04-27T15:29:04"/>
    <d v="2026-04-27T15:29:04"/>
    <x v="0"/>
    <m/>
  </r>
  <r>
    <n v="266"/>
    <x v="12"/>
    <d v="2026-04-01T00:00:00"/>
    <s v="Newco Campinas"/>
    <x v="172"/>
    <s v="Ivo Soares"/>
    <m/>
    <d v="2026-04-27T15:29:05"/>
    <d v="2026-04-27T15:29:05"/>
    <x v="0"/>
    <m/>
  </r>
  <r>
    <n v="267"/>
    <x v="12"/>
    <d v="2026-04-01T00:00:00"/>
    <s v="Newco Campinas"/>
    <x v="173"/>
    <s v="Ivo Soares"/>
    <m/>
    <d v="2026-04-27T15:29:05"/>
    <d v="2026-04-27T15:29:05"/>
    <x v="0"/>
    <m/>
  </r>
  <r>
    <n v="268"/>
    <x v="12"/>
    <d v="2026-04-01T00:00:00"/>
    <s v="Newco Campinas"/>
    <x v="174"/>
    <s v="Ivo Soares"/>
    <m/>
    <d v="2026-04-27T15:29:05"/>
    <d v="2026-04-27T15:29:05"/>
    <x v="0"/>
    <m/>
  </r>
  <r>
    <n v="269"/>
    <x v="12"/>
    <d v="2026-04-01T00:00:00"/>
    <s v="Newco Campinas"/>
    <x v="175"/>
    <s v="Ivo Soares"/>
    <m/>
    <d v="2026-04-27T15:29:05"/>
    <d v="2026-04-27T15:29:05"/>
    <x v="3"/>
    <m/>
  </r>
  <r>
    <n v="270"/>
    <x v="12"/>
    <d v="2026-04-01T00:00:00"/>
    <s v="Newco Campinas"/>
    <x v="176"/>
    <s v="Ivo Soares"/>
    <m/>
    <d v="2026-04-27T15:29:05"/>
    <d v="2026-04-27T15:29:05"/>
    <x v="3"/>
    <m/>
  </r>
  <r>
    <n v="271"/>
    <x v="12"/>
    <d v="2026-04-01T00:00:00"/>
    <s v="Newco Campinas"/>
    <x v="177"/>
    <s v="Ivo Soares"/>
    <m/>
    <d v="2026-04-27T15:29:05"/>
    <d v="2026-04-27T15:29:05"/>
    <x v="0"/>
    <m/>
  </r>
  <r>
    <n v="272"/>
    <x v="12"/>
    <d v="2026-04-01T00:00:00"/>
    <s v="Newco Campinas"/>
    <x v="178"/>
    <s v="Ivo Soares"/>
    <m/>
    <d v="2026-04-27T15:29:06"/>
    <d v="2026-04-27T15:29:06"/>
    <x v="0"/>
    <m/>
  </r>
  <r>
    <n v="273"/>
    <x v="12"/>
    <d v="2026-04-01T00:00:00"/>
    <s v="Newco Campinas"/>
    <x v="179"/>
    <s v="Ivo Soares"/>
    <m/>
    <d v="2026-04-27T15:29:06"/>
    <d v="2026-04-27T15:29:06"/>
    <x v="0"/>
    <m/>
  </r>
  <r>
    <n v="274"/>
    <x v="12"/>
    <d v="2026-04-01T00:00:00"/>
    <s v="Newco Campinas"/>
    <x v="180"/>
    <s v="Ivo Soares"/>
    <m/>
    <d v="2026-04-27T15:29:06"/>
    <d v="2026-04-27T15:29:06"/>
    <x v="0"/>
    <m/>
  </r>
  <r>
    <n v="275"/>
    <x v="12"/>
    <d v="2026-04-01T00:00:00"/>
    <s v="Newco Campinas"/>
    <x v="181"/>
    <s v="Ivo Soares"/>
    <m/>
    <d v="2026-04-27T15:29:07"/>
    <d v="2026-04-27T15:29:07"/>
    <x v="0"/>
    <m/>
  </r>
  <r>
    <n v="276"/>
    <x v="12"/>
    <d v="2026-04-01T00:00:00"/>
    <s v="Newco Campinas"/>
    <x v="182"/>
    <s v="Ivo Soares"/>
    <m/>
    <d v="2026-04-27T15:29:07"/>
    <d v="2026-04-27T15:29:07"/>
    <x v="0"/>
    <m/>
  </r>
  <r>
    <n v="277"/>
    <x v="12"/>
    <d v="2026-04-01T00:00:00"/>
    <s v="Newco Campinas"/>
    <x v="183"/>
    <s v="Ivo Soares"/>
    <m/>
    <d v="2026-04-27T15:29:07"/>
    <d v="2026-04-27T15:29:07"/>
    <x v="0"/>
    <m/>
  </r>
  <r>
    <n v="278"/>
    <x v="12"/>
    <d v="2026-04-01T00:00:00"/>
    <s v="Newco Campinas"/>
    <x v="184"/>
    <s v="Ivo Soares"/>
    <m/>
    <d v="2026-04-27T15:29:07"/>
    <d v="2026-04-27T15:29:07"/>
    <x v="0"/>
    <m/>
  </r>
  <r>
    <n v="279"/>
    <x v="12"/>
    <d v="2026-04-01T00:00:00"/>
    <s v="Newco Campinas"/>
    <x v="185"/>
    <s v="Ivo Soares"/>
    <m/>
    <d v="2026-04-27T15:30:32"/>
    <d v="2026-06-22T14:22:07"/>
    <x v="0"/>
    <m/>
  </r>
  <r>
    <n v="280"/>
    <x v="13"/>
    <d v="2026-04-01T00:00:00"/>
    <s v="Engenharia"/>
    <x v="186"/>
    <s v="Engenharia"/>
    <m/>
    <d v="2026-04-02T15:48:11"/>
    <d v="2026-04-10T08:56:42"/>
    <x v="0"/>
    <m/>
  </r>
  <r>
    <n v="281"/>
    <x v="13"/>
    <d v="2026-04-01T00:00:00"/>
    <s v="Transporte ME"/>
    <x v="142"/>
    <s v="Pedro Neto"/>
    <m/>
    <d v="2026-04-02T15:48:08"/>
    <d v="2026-04-10T08:56:42"/>
    <x v="0"/>
    <m/>
  </r>
  <r>
    <n v="282"/>
    <x v="13"/>
    <d v="2026-04-01T00:00:00"/>
    <s v="Engenharia"/>
    <x v="141"/>
    <s v="Engenharia"/>
    <m/>
    <d v="2026-04-02T15:48:07"/>
    <d v="2026-04-10T08:56:43"/>
    <x v="0"/>
    <m/>
  </r>
  <r>
    <n v="283"/>
    <x v="13"/>
    <d v="2026-04-01T00:00:00"/>
    <s v="Engenharia"/>
    <x v="146"/>
    <s v="Engenharia"/>
    <m/>
    <d v="2026-04-02T15:48:07"/>
    <d v="2026-04-10T08:56:44"/>
    <x v="0"/>
    <m/>
  </r>
  <r>
    <n v="284"/>
    <x v="13"/>
    <d v="2026-04-01T00:00:00"/>
    <s v="Transporte ME"/>
    <x v="143"/>
    <s v="Luiz Garcia"/>
    <m/>
    <d v="2026-04-02T15:48:08"/>
    <d v="2026-04-10T08:56:54"/>
    <x v="0"/>
    <m/>
  </r>
  <r>
    <n v="285"/>
    <x v="13"/>
    <d v="2026-04-01T00:00:00"/>
    <s v="Transporte ME"/>
    <x v="187"/>
    <s v="Ivo Soares"/>
    <m/>
    <d v="2026-04-02T15:48:06"/>
    <d v="2026-04-10T08:56:48"/>
    <x v="0"/>
    <m/>
  </r>
  <r>
    <n v="286"/>
    <x v="13"/>
    <d v="2026-04-01T00:00:00"/>
    <s v="Transporte ME"/>
    <x v="188"/>
    <s v="Engenharia"/>
    <m/>
    <d v="2026-04-02T15:52:46"/>
    <d v="2026-04-27T10:06:55"/>
    <x v="0"/>
    <m/>
  </r>
  <r>
    <n v="287"/>
    <x v="13"/>
    <d v="2026-04-01T00:00:00"/>
    <s v="Engenharia"/>
    <x v="189"/>
    <s v="Engenharia"/>
    <m/>
    <d v="2026-04-02T15:53:06"/>
    <d v="2026-04-27T10:06:55"/>
    <x v="0"/>
    <m/>
  </r>
  <r>
    <n v="288"/>
    <x v="14"/>
    <d v="2026-03-01T00:00:00"/>
    <s v="Transporte ME"/>
    <x v="190"/>
    <s v="Ivo Soares"/>
    <m/>
    <d v="2026-03-05T17:43:30"/>
    <d v="2026-04-02T15:56:57"/>
    <x v="0"/>
    <m/>
  </r>
  <r>
    <n v="289"/>
    <x v="14"/>
    <d v="2026-03-01T00:00:00"/>
    <s v="Engenharia"/>
    <x v="146"/>
    <s v="Engenharia"/>
    <m/>
    <d v="2026-03-05T17:43:24"/>
    <d v="2026-04-02T15:56:59"/>
    <x v="0"/>
    <m/>
  </r>
  <r>
    <n v="290"/>
    <x v="14"/>
    <d v="2026-03-01T00:00:00"/>
    <s v="Engenharia"/>
    <x v="141"/>
    <s v="Engenharia"/>
    <m/>
    <d v="2026-03-05T17:43:24"/>
    <d v="2026-04-02T15:57:01"/>
    <x v="0"/>
    <m/>
  </r>
  <r>
    <n v="291"/>
    <x v="14"/>
    <d v="2026-03-01T00:00:00"/>
    <s v="Transporte ME"/>
    <x v="142"/>
    <s v="Pedro Neto"/>
    <m/>
    <d v="2026-03-05T17:43:23"/>
    <d v="2026-03-05T17:43:24"/>
    <x v="0"/>
    <m/>
  </r>
  <r>
    <n v="292"/>
    <x v="14"/>
    <d v="2026-03-01T00:00:00"/>
    <s v="Transporte ME"/>
    <x v="143"/>
    <s v="Luiz Garcia"/>
    <m/>
    <d v="2026-03-05T17:43:23"/>
    <d v="2026-04-02T15:57:04"/>
    <x v="0"/>
    <m/>
  </r>
  <r>
    <n v="293"/>
    <x v="14"/>
    <d v="2026-03-01T00:00:00"/>
    <s v="Engenharia"/>
    <x v="144"/>
    <s v="Engenharia"/>
    <m/>
    <d v="2026-03-05T17:43:23"/>
    <d v="2026-03-05T17:43:23"/>
    <x v="0"/>
    <m/>
  </r>
  <r>
    <n v="294"/>
    <x v="15"/>
    <d v="2026-03-01T00:00:00"/>
    <s v="Transporte ME"/>
    <x v="191"/>
    <s v="Ivo Soares"/>
    <m/>
    <d v="2026-03-06T08:31:03"/>
    <m/>
    <x v="0"/>
    <m/>
  </r>
  <r>
    <n v="295"/>
    <x v="15"/>
    <d v="2026-03-01T00:00:00"/>
    <s v="Transporte ME"/>
    <x v="192"/>
    <s v="Ivo Soares"/>
    <m/>
    <d v="2026-03-06T08:57:26"/>
    <m/>
    <x v="1"/>
    <m/>
  </r>
  <r>
    <n v="296"/>
    <x v="15"/>
    <d v="2026-03-01T00:00:00"/>
    <s v="Transporte ME"/>
    <x v="193"/>
    <s v="Ivo Soares"/>
    <m/>
    <d v="2026-03-06T08:57:28"/>
    <m/>
    <x v="1"/>
    <m/>
  </r>
  <r>
    <n v="297"/>
    <x v="15"/>
    <d v="2026-03-01T00:00:00"/>
    <s v="Transporte ME"/>
    <x v="194"/>
    <s v="Ivo Soares"/>
    <m/>
    <d v="2026-03-06T08:57:28"/>
    <m/>
    <x v="1"/>
    <m/>
  </r>
  <r>
    <n v="298"/>
    <x v="15"/>
    <d v="2026-03-01T00:00:00"/>
    <s v="Transporte ME"/>
    <x v="195"/>
    <s v="Ivo Soares"/>
    <m/>
    <d v="2026-03-06T08:57:28"/>
    <m/>
    <x v="1"/>
    <m/>
  </r>
  <r>
    <n v="299"/>
    <x v="15"/>
    <d v="2026-03-01T00:00:00"/>
    <s v="Transporte ME"/>
    <x v="196"/>
    <s v="Ivo Soares"/>
    <m/>
    <d v="2026-03-06T08:57:28"/>
    <m/>
    <x v="1"/>
    <m/>
  </r>
  <r>
    <n v="300"/>
    <x v="15"/>
    <d v="2026-03-01T00:00:00"/>
    <s v="Transporte ME"/>
    <x v="197"/>
    <s v="Ivo Soares"/>
    <m/>
    <d v="2026-03-06T08:57:28"/>
    <m/>
    <x v="1"/>
    <m/>
  </r>
  <r>
    <n v="301"/>
    <x v="15"/>
    <d v="2026-03-01T00:00:00"/>
    <s v="Transporte ME"/>
    <x v="198"/>
    <s v="Ivo Soares"/>
    <m/>
    <d v="2026-03-06T08:57:28"/>
    <m/>
    <x v="1"/>
    <m/>
  </r>
  <r>
    <n v="302"/>
    <x v="15"/>
    <d v="2026-03-01T00:00:00"/>
    <s v="Transporte ME"/>
    <x v="199"/>
    <s v="Ivo Soares"/>
    <m/>
    <d v="2026-03-06T08:57:28"/>
    <m/>
    <x v="1"/>
    <m/>
  </r>
  <r>
    <n v="303"/>
    <x v="15"/>
    <d v="2026-03-01T00:00:00"/>
    <s v="Transporte ME"/>
    <x v="200"/>
    <s v="Ivo Soares"/>
    <m/>
    <d v="2026-03-06T08:31:05"/>
    <m/>
    <x v="1"/>
    <m/>
  </r>
  <r>
    <n v="304"/>
    <x v="15"/>
    <d v="2026-03-01T00:00:00"/>
    <s v="Transporte ME"/>
    <x v="201"/>
    <s v="Ivo Soares"/>
    <m/>
    <d v="2026-03-06T08:31:05"/>
    <m/>
    <x v="1"/>
    <m/>
  </r>
  <r>
    <n v="305"/>
    <x v="15"/>
    <d v="2026-03-01T00:00:00"/>
    <s v="Transporte ME"/>
    <x v="202"/>
    <s v="Ivo Soares"/>
    <m/>
    <d v="2026-03-06T08:31:05"/>
    <m/>
    <x v="1"/>
    <m/>
  </r>
  <r>
    <n v="306"/>
    <x v="15"/>
    <d v="2026-03-01T00:00:00"/>
    <s v="Transporte ME"/>
    <x v="203"/>
    <s v="Ivo Soares"/>
    <m/>
    <d v="2026-03-06T08:31:05"/>
    <m/>
    <x v="1"/>
    <m/>
  </r>
  <r>
    <n v="307"/>
    <x v="15"/>
    <d v="2026-03-01T00:00:00"/>
    <s v="Transporte ME"/>
    <x v="204"/>
    <s v="Ivo Soares"/>
    <m/>
    <d v="2026-03-06T08:31:05"/>
    <m/>
    <x v="1"/>
    <m/>
  </r>
  <r>
    <n v="308"/>
    <x v="15"/>
    <d v="2026-03-01T00:00:00"/>
    <s v="Transporte ME"/>
    <x v="205"/>
    <s v="Ivo Soares"/>
    <m/>
    <d v="2026-03-06T08:31:05"/>
    <m/>
    <x v="1"/>
    <m/>
  </r>
  <r>
    <n v="309"/>
    <x v="15"/>
    <d v="2026-03-01T00:00:00"/>
    <s v="Transporte ME"/>
    <x v="206"/>
    <s v="Ivo Soares"/>
    <m/>
    <d v="2026-03-06T08:31:05"/>
    <m/>
    <x v="1"/>
    <m/>
  </r>
  <r>
    <n v="310"/>
    <x v="15"/>
    <d v="2026-03-01T00:00:00"/>
    <s v="Transporte ME"/>
    <x v="207"/>
    <s v="Ivo Soares"/>
    <m/>
    <d v="2026-03-06T08:31:05"/>
    <m/>
    <x v="1"/>
    <m/>
  </r>
  <r>
    <n v="311"/>
    <x v="15"/>
    <d v="2026-03-01T00:00:00"/>
    <s v="Transporte ME"/>
    <x v="208"/>
    <s v="Ivo Soares"/>
    <m/>
    <d v="2026-03-06T08:31:05"/>
    <m/>
    <x v="1"/>
    <m/>
  </r>
  <r>
    <n v="312"/>
    <x v="15"/>
    <d v="2026-03-01T00:00:00"/>
    <s v="Transporte ME"/>
    <x v="209"/>
    <s v="Ivo Soares"/>
    <m/>
    <d v="2026-03-06T08:31:05"/>
    <m/>
    <x v="1"/>
    <m/>
  </r>
  <r>
    <n v="313"/>
    <x v="15"/>
    <d v="2026-03-01T00:00:00"/>
    <s v="Transporte ME"/>
    <x v="210"/>
    <s v="Ivo Soares"/>
    <m/>
    <d v="2026-03-06T08:31:05"/>
    <m/>
    <x v="1"/>
    <m/>
  </r>
  <r>
    <n v="314"/>
    <x v="15"/>
    <d v="2026-03-01T00:00:00"/>
    <s v="Transporte ME"/>
    <x v="211"/>
    <s v="Ivo Soares"/>
    <m/>
    <d v="2026-03-06T08:31:06"/>
    <m/>
    <x v="1"/>
    <m/>
  </r>
  <r>
    <n v="315"/>
    <x v="15"/>
    <d v="2026-03-01T00:00:00"/>
    <s v="Transporte ME"/>
    <x v="212"/>
    <s v="Ivo Soares"/>
    <m/>
    <d v="2026-03-06T08:31:06"/>
    <m/>
    <x v="1"/>
    <m/>
  </r>
  <r>
    <n v="316"/>
    <x v="15"/>
    <d v="2026-03-01T00:00:00"/>
    <s v="Transporte ME"/>
    <x v="213"/>
    <s v="Ivo Soares"/>
    <m/>
    <d v="2026-03-06T08:31:06"/>
    <m/>
    <x v="1"/>
    <m/>
  </r>
  <r>
    <n v="317"/>
    <x v="15"/>
    <d v="2026-03-01T00:00:00"/>
    <s v="Transporte ME"/>
    <x v="214"/>
    <s v="Ivo Soares"/>
    <m/>
    <d v="2026-03-06T08:31:06"/>
    <m/>
    <x v="1"/>
    <m/>
  </r>
  <r>
    <n v="318"/>
    <x v="15"/>
    <d v="2026-03-01T00:00:00"/>
    <s v="Transporte ME"/>
    <x v="215"/>
    <s v="Ivo Soares"/>
    <m/>
    <d v="2026-03-06T08:31:06"/>
    <m/>
    <x v="1"/>
    <m/>
  </r>
  <r>
    <n v="319"/>
    <x v="15"/>
    <d v="2026-03-01T00:00:00"/>
    <s v="Transporte ME"/>
    <x v="216"/>
    <s v="Ivo Soares"/>
    <m/>
    <d v="2026-03-06T08:31:06"/>
    <m/>
    <x v="1"/>
    <m/>
  </r>
  <r>
    <n v="320"/>
    <x v="15"/>
    <d v="2026-03-01T00:00:00"/>
    <s v="Transporte ME"/>
    <x v="217"/>
    <s v="Ivo Soares"/>
    <m/>
    <d v="2026-03-06T08:31:06"/>
    <m/>
    <x v="1"/>
    <m/>
  </r>
  <r>
    <n v="321"/>
    <x v="15"/>
    <d v="2026-03-01T00:00:00"/>
    <s v="Transporte ME"/>
    <x v="202"/>
    <s v="Ivo Soares"/>
    <m/>
    <d v="2026-03-06T08:31:06"/>
    <m/>
    <x v="1"/>
    <m/>
  </r>
  <r>
    <n v="322"/>
    <x v="16"/>
    <d v="2026-01-01T00:00:00"/>
    <s v="Transporte ME"/>
    <x v="218"/>
    <s v="Ivo Soares"/>
    <m/>
    <d v="2026-01-01T00:00:00"/>
    <d v="2026-01-01T00:00:00"/>
    <x v="0"/>
    <m/>
  </r>
  <r>
    <n v="323"/>
    <x v="16"/>
    <d v="2026-01-01T00:00:00"/>
    <s v="Controles"/>
    <x v="219"/>
    <s v="Ivo Soares"/>
    <m/>
    <d v="2026-01-01T00:00:00"/>
    <d v="2026-01-01T00:00:00"/>
    <x v="0"/>
    <m/>
  </r>
  <r>
    <n v="324"/>
    <x v="16"/>
    <d v="2026-01-01T00:00:00"/>
    <s v="Transporte ME"/>
    <x v="220"/>
    <s v="Ivo Soares"/>
    <m/>
    <d v="2026-01-01T00:00:00"/>
    <d v="2026-01-01T00:00:00"/>
    <x v="0"/>
    <m/>
  </r>
  <r>
    <n v="325"/>
    <x v="16"/>
    <d v="2026-01-01T00:00:00"/>
    <s v="Transporte ME"/>
    <x v="221"/>
    <s v="Ivo Soares"/>
    <m/>
    <d v="2026-01-01T00:00:00"/>
    <d v="2026-01-01T00:00:00"/>
    <x v="0"/>
    <m/>
  </r>
  <r>
    <n v="326"/>
    <x v="16"/>
    <d v="2026-01-01T00:00:00"/>
    <s v="Transporte ME"/>
    <x v="222"/>
    <s v="Ivo Soares"/>
    <m/>
    <d v="2026-01-01T00:00:00"/>
    <d v="2026-01-01T00:00:00"/>
    <x v="0"/>
    <m/>
  </r>
  <r>
    <n v="327"/>
    <x v="16"/>
    <d v="2026-01-01T00:00:00"/>
    <s v="Transporte ME"/>
    <x v="223"/>
    <s v="Carlos Silva"/>
    <m/>
    <d v="2026-09-01T00:00:00"/>
    <m/>
    <x v="1"/>
    <m/>
  </r>
  <r>
    <n v="328"/>
    <x v="17"/>
    <d v="2026-01-01T00:00:00"/>
    <s v="Transporte ME"/>
    <x v="224"/>
    <m/>
    <m/>
    <d v="2023-06-09T17:26:34"/>
    <d v="2023-06-09T17:26:34"/>
    <x v="0"/>
    <m/>
  </r>
  <r>
    <n v="329"/>
    <x v="17"/>
    <d v="2026-01-01T00:00:00"/>
    <s v="Transporte ME"/>
    <x v="225"/>
    <m/>
    <m/>
    <d v="2023-06-09T17:26:35"/>
    <d v="2023-06-09T17:26:35"/>
    <x v="0"/>
    <m/>
  </r>
  <r>
    <n v="330"/>
    <x v="17"/>
    <d v="2026-01-01T00:00:00"/>
    <s v="TI "/>
    <x v="226"/>
    <m/>
    <m/>
    <d v="2026-01-09T10:31:51"/>
    <d v="2026-01-09T10:31:51"/>
    <x v="0"/>
    <m/>
  </r>
  <r>
    <n v="331"/>
    <x v="17"/>
    <d v="2026-01-01T00:00:00"/>
    <s v="TI "/>
    <x v="227"/>
    <m/>
    <m/>
    <d v="2026-01-13T08:43:53"/>
    <d v="2026-01-13T08:43:53"/>
    <x v="0"/>
    <m/>
  </r>
  <r>
    <n v="332"/>
    <x v="17"/>
    <d v="2026-01-01T00:00:00"/>
    <s v="TI "/>
    <x v="228"/>
    <m/>
    <m/>
    <d v="2026-01-13T08:43:55"/>
    <d v="2026-01-13T08:43:55"/>
    <x v="0"/>
    <m/>
  </r>
  <r>
    <n v="333"/>
    <x v="17"/>
    <d v="2026-01-01T00:00:00"/>
    <s v="TI "/>
    <x v="229"/>
    <m/>
    <m/>
    <d v="2026-01-13T08:43:55"/>
    <d v="2026-01-13T08:43:55"/>
    <x v="0"/>
    <m/>
  </r>
  <r>
    <n v="334"/>
    <x v="17"/>
    <d v="2026-01-01T00:00:00"/>
    <s v="TI "/>
    <x v="230"/>
    <m/>
    <m/>
    <d v="2026-01-13T08:43:55"/>
    <d v="2026-01-13T08:43:55"/>
    <x v="0"/>
    <m/>
  </r>
  <r>
    <n v="335"/>
    <x v="17"/>
    <d v="2026-01-01T00:00:00"/>
    <s v="TI "/>
    <x v="231"/>
    <m/>
    <m/>
    <d v="2026-01-13T08:43:55"/>
    <d v="2026-01-13T08:43:55"/>
    <x v="0"/>
    <m/>
  </r>
  <r>
    <n v="336"/>
    <x v="17"/>
    <d v="2026-01-01T00:00:00"/>
    <s v="TI "/>
    <x v="232"/>
    <m/>
    <m/>
    <d v="2026-01-13T08:43:55"/>
    <d v="2026-01-13T08:43:55"/>
    <x v="0"/>
    <m/>
  </r>
  <r>
    <n v="337"/>
    <x v="17"/>
    <d v="2026-01-01T00:00:00"/>
    <s v="TI "/>
    <x v="233"/>
    <m/>
    <m/>
    <d v="2026-01-13T08:43:55"/>
    <d v="2026-01-13T08:43:55"/>
    <x v="0"/>
    <m/>
  </r>
  <r>
    <n v="338"/>
    <x v="17"/>
    <d v="2026-01-01T00:00:00"/>
    <s v="TI "/>
    <x v="234"/>
    <m/>
    <m/>
    <d v="2026-01-13T08:43:55"/>
    <d v="2026-01-13T08:43:55"/>
    <x v="0"/>
    <m/>
  </r>
  <r>
    <n v="339"/>
    <x v="17"/>
    <d v="2026-01-01T00:00:00"/>
    <s v="TI "/>
    <x v="235"/>
    <m/>
    <m/>
    <d v="2026-01-13T08:43:56"/>
    <d v="2026-01-13T08:43:56"/>
    <x v="0"/>
    <m/>
  </r>
  <r>
    <n v="340"/>
    <x v="17"/>
    <d v="2026-01-01T00:00:00"/>
    <s v="TI "/>
    <x v="236"/>
    <m/>
    <m/>
    <d v="2026-01-13T08:43:56"/>
    <d v="2026-01-13T08:43:56"/>
    <x v="0"/>
    <m/>
  </r>
  <r>
    <n v="341"/>
    <x v="17"/>
    <d v="2026-01-01T00:00:00"/>
    <s v="TI "/>
    <x v="237"/>
    <m/>
    <m/>
    <d v="2026-01-13T08:43:56"/>
    <d v="2026-01-13T08:43:56"/>
    <x v="0"/>
    <m/>
  </r>
  <r>
    <n v="342"/>
    <x v="17"/>
    <d v="2026-01-01T00:00:00"/>
    <s v="TI "/>
    <x v="236"/>
    <m/>
    <m/>
    <d v="2026-01-13T08:43:56"/>
    <d v="2026-01-13T08:43:56"/>
    <x v="0"/>
    <m/>
  </r>
  <r>
    <n v="343"/>
    <x v="17"/>
    <d v="2026-01-01T00:00:00"/>
    <s v="TI "/>
    <x v="237"/>
    <m/>
    <m/>
    <d v="2026-01-13T08:43:56"/>
    <d v="2026-01-13T08:43:56"/>
    <x v="0"/>
    <m/>
  </r>
  <r>
    <n v="344"/>
    <x v="17"/>
    <d v="2026-01-01T00:00:00"/>
    <s v="TI "/>
    <x v="238"/>
    <m/>
    <m/>
    <d v="2026-01-13T08:43:56"/>
    <d v="2026-01-13T08:43:56"/>
    <x v="0"/>
    <m/>
  </r>
  <r>
    <n v="345"/>
    <x v="17"/>
    <d v="2026-01-01T00:00:00"/>
    <s v="TI "/>
    <x v="239"/>
    <m/>
    <m/>
    <d v="2026-01-13T08:43:56"/>
    <d v="2026-01-13T08:43:56"/>
    <x v="0"/>
    <m/>
  </r>
  <r>
    <n v="346"/>
    <x v="17"/>
    <d v="2026-01-01T00:00:00"/>
    <s v="TI "/>
    <x v="240"/>
    <m/>
    <m/>
    <d v="2026-01-13T08:43:56"/>
    <d v="2026-01-13T08:43:56"/>
    <x v="0"/>
    <m/>
  </r>
  <r>
    <n v="347"/>
    <x v="17"/>
    <d v="2026-01-01T00:00:00"/>
    <s v="TI "/>
    <x v="241"/>
    <m/>
    <m/>
    <d v="2026-01-13T08:43:56"/>
    <d v="2026-01-13T08:43:56"/>
    <x v="0"/>
    <m/>
  </r>
  <r>
    <n v="348"/>
    <x v="17"/>
    <d v="2026-01-01T00:00:00"/>
    <s v="TI "/>
    <x v="242"/>
    <m/>
    <m/>
    <d v="2026-01-13T08:43:56"/>
    <d v="2026-01-13T08:43:56"/>
    <x v="0"/>
    <m/>
  </r>
  <r>
    <n v="349"/>
    <x v="17"/>
    <d v="2026-01-01T00:00:00"/>
    <s v="TI "/>
    <x v="243"/>
    <m/>
    <m/>
    <d v="2026-01-13T08:43:56"/>
    <d v="2026-01-13T08:43:56"/>
    <x v="0"/>
    <m/>
  </r>
  <r>
    <n v="350"/>
    <x v="17"/>
    <d v="2026-01-01T00:00:00"/>
    <s v="TI "/>
    <x v="244"/>
    <m/>
    <m/>
    <d v="2026-01-13T08:43:56"/>
    <d v="2026-01-13T08:43:56"/>
    <x v="0"/>
    <m/>
  </r>
  <r>
    <n v="351"/>
    <x v="17"/>
    <d v="2026-01-01T00:00:00"/>
    <s v="TI "/>
    <x v="245"/>
    <m/>
    <m/>
    <d v="2026-01-13T08:43:56"/>
    <d v="2026-01-13T08:43:56"/>
    <x v="0"/>
    <m/>
  </r>
  <r>
    <n v="352"/>
    <x v="17"/>
    <d v="2026-01-01T00:00:00"/>
    <s v="TI "/>
    <x v="246"/>
    <m/>
    <m/>
    <d v="2026-01-13T08:43:57"/>
    <d v="2026-01-13T08:43:57"/>
    <x v="0"/>
    <m/>
  </r>
  <r>
    <n v="353"/>
    <x v="17"/>
    <d v="2026-01-01T00:00:00"/>
    <s v="TI "/>
    <x v="247"/>
    <m/>
    <m/>
    <d v="2026-01-13T08:43:57"/>
    <d v="2026-01-13T08:43:57"/>
    <x v="0"/>
    <m/>
  </r>
  <r>
    <n v="354"/>
    <x v="17"/>
    <d v="2026-01-01T00:00:00"/>
    <s v="TI "/>
    <x v="248"/>
    <m/>
    <m/>
    <d v="2026-01-20T08:50:28"/>
    <d v="2026-01-20T08:50:28"/>
    <x v="0"/>
    <m/>
  </r>
  <r>
    <n v="355"/>
    <x v="17"/>
    <d v="2026-01-01T00:00:00"/>
    <s v="TI "/>
    <x v="249"/>
    <m/>
    <m/>
    <d v="2026-01-20T08:51:02"/>
    <d v="2026-01-20T08:51:02"/>
    <x v="0"/>
    <m/>
  </r>
  <r>
    <n v="356"/>
    <x v="17"/>
    <d v="2026-01-01T00:00:00"/>
    <s v="Controles"/>
    <x v="250"/>
    <m/>
    <m/>
    <d v="2026-01-13T08:41:06"/>
    <d v="2026-01-13T08:41:06"/>
    <x v="0"/>
    <m/>
  </r>
  <r>
    <n v="357"/>
    <x v="17"/>
    <d v="2026-01-01T00:00:00"/>
    <s v="Controles"/>
    <x v="251"/>
    <m/>
    <m/>
    <d v="2026-01-13T08:41:06"/>
    <d v="2026-01-13T08:41:06"/>
    <x v="0"/>
    <m/>
  </r>
  <r>
    <n v="358"/>
    <x v="17"/>
    <d v="2026-01-01T00:00:00"/>
    <s v="Controles"/>
    <x v="252"/>
    <m/>
    <m/>
    <d v="2026-01-13T08:41:06"/>
    <d v="2026-01-13T08:41:06"/>
    <x v="0"/>
    <m/>
  </r>
  <r>
    <n v="359"/>
    <x v="17"/>
    <d v="2026-01-01T00:00:00"/>
    <s v="Controles"/>
    <x v="253"/>
    <m/>
    <m/>
    <d v="2026-01-13T08:41:06"/>
    <d v="2026-01-13T08:41:06"/>
    <x v="0"/>
    <m/>
  </r>
  <r>
    <n v="360"/>
    <x v="17"/>
    <d v="2026-01-01T00:00:00"/>
    <s v="Controles"/>
    <x v="254"/>
    <m/>
    <m/>
    <d v="2026-01-13T08:41:06"/>
    <d v="2026-01-13T08:41:06"/>
    <x v="0"/>
    <m/>
  </r>
  <r>
    <n v="361"/>
    <x v="17"/>
    <d v="2026-01-01T00:00:00"/>
    <s v="Controles"/>
    <x v="255"/>
    <m/>
    <m/>
    <d v="2026-01-13T08:41:06"/>
    <d v="2026-01-13T08:41:06"/>
    <x v="0"/>
    <m/>
  </r>
  <r>
    <n v="362"/>
    <x v="17"/>
    <d v="2026-01-01T00:00:00"/>
    <s v="Controles"/>
    <x v="256"/>
    <m/>
    <m/>
    <d v="2026-01-13T08:41:06"/>
    <d v="2026-01-13T08:41:06"/>
    <x v="0"/>
    <m/>
  </r>
  <r>
    <n v="363"/>
    <x v="17"/>
    <d v="2026-01-01T00:00:00"/>
    <s v="Controles"/>
    <x v="257"/>
    <m/>
    <m/>
    <d v="2026-01-13T08:41:06"/>
    <d v="2026-01-13T08:41:06"/>
    <x v="0"/>
    <m/>
  </r>
  <r>
    <n v="364"/>
    <x v="17"/>
    <d v="2026-01-01T00:00:00"/>
    <s v="Controles"/>
    <x v="258"/>
    <m/>
    <m/>
    <d v="2026-01-13T08:41:06"/>
    <d v="2026-01-13T08:41:06"/>
    <x v="0"/>
    <m/>
  </r>
  <r>
    <n v="365"/>
    <x v="17"/>
    <d v="2026-01-01T00:00:00"/>
    <s v="Controles"/>
    <x v="259"/>
    <m/>
    <m/>
    <d v="2026-01-13T08:41:06"/>
    <d v="2026-01-13T08:41:06"/>
    <x v="0"/>
    <m/>
  </r>
  <r>
    <n v="366"/>
    <x v="17"/>
    <d v="2026-01-01T00:00:00"/>
    <s v="Controles"/>
    <x v="260"/>
    <m/>
    <m/>
    <d v="2026-01-13T08:41:07"/>
    <d v="2026-01-13T08:41:07"/>
    <x v="0"/>
    <m/>
  </r>
  <r>
    <n v="367"/>
    <x v="17"/>
    <d v="2026-01-01T00:00:00"/>
    <s v="Controles"/>
    <x v="261"/>
    <m/>
    <m/>
    <d v="2026-01-13T08:41:07"/>
    <m/>
    <x v="3"/>
    <m/>
  </r>
  <r>
    <n v="368"/>
    <x v="17"/>
    <d v="2026-01-01T00:00:00"/>
    <s v="Controles"/>
    <x v="262"/>
    <m/>
    <m/>
    <d v="2026-01-13T08:41:07"/>
    <m/>
    <x v="3"/>
    <m/>
  </r>
  <r>
    <n v="369"/>
    <x v="17"/>
    <d v="2026-01-01T00:00:00"/>
    <s v="Controles"/>
    <x v="263"/>
    <m/>
    <m/>
    <d v="2026-01-13T08:41:07"/>
    <m/>
    <x v="3"/>
    <m/>
  </r>
  <r>
    <n v="370"/>
    <x v="17"/>
    <d v="2026-01-01T00:00:00"/>
    <s v="Controles"/>
    <x v="264"/>
    <m/>
    <m/>
    <d v="2026-01-13T08:41:07"/>
    <m/>
    <x v="3"/>
    <m/>
  </r>
  <r>
    <n v="371"/>
    <x v="17"/>
    <d v="2026-01-01T00:00:00"/>
    <s v="Controles"/>
    <x v="265"/>
    <m/>
    <m/>
    <d v="2026-01-13T08:41:07"/>
    <d v="2026-01-13T08:41:07"/>
    <x v="0"/>
    <m/>
  </r>
  <r>
    <n v="372"/>
    <x v="17"/>
    <d v="2026-01-01T00:00:00"/>
    <s v="Controles"/>
    <x v="266"/>
    <m/>
    <m/>
    <d v="2026-01-13T08:41:07"/>
    <d v="2026-01-13T08:41:07"/>
    <x v="0"/>
    <m/>
  </r>
  <r>
    <n v="373"/>
    <x v="17"/>
    <d v="2026-01-01T00:00:00"/>
    <s v="Controles"/>
    <x v="267"/>
    <m/>
    <m/>
    <d v="2026-01-13T08:41:07"/>
    <d v="2026-01-13T08:41:07"/>
    <x v="0"/>
    <m/>
  </r>
  <r>
    <n v="374"/>
    <x v="17"/>
    <d v="2026-01-01T00:00:00"/>
    <s v="Controles"/>
    <x v="268"/>
    <m/>
    <m/>
    <d v="2026-01-13T08:41:07"/>
    <d v="2026-01-13T08:41:07"/>
    <x v="0"/>
    <m/>
  </r>
  <r>
    <n v="375"/>
    <x v="17"/>
    <d v="2026-01-01T00:00:00"/>
    <s v="Controles"/>
    <x v="269"/>
    <m/>
    <m/>
    <d v="2026-01-13T08:41:07"/>
    <d v="2026-01-13T08:41:07"/>
    <x v="0"/>
    <m/>
  </r>
  <r>
    <n v="376"/>
    <x v="17"/>
    <d v="2026-01-01T00:00:00"/>
    <s v="Controles"/>
    <x v="270"/>
    <m/>
    <m/>
    <d v="2026-01-13T08:41:07"/>
    <d v="2026-01-13T08:41:07"/>
    <x v="0"/>
    <m/>
  </r>
  <r>
    <n v="377"/>
    <x v="17"/>
    <d v="2026-01-01T00:00:00"/>
    <s v="Controles"/>
    <x v="271"/>
    <m/>
    <m/>
    <d v="2026-01-13T08:41:08"/>
    <d v="2026-01-13T08:41:08"/>
    <x v="0"/>
    <m/>
  </r>
  <r>
    <n v="378"/>
    <x v="17"/>
    <d v="2026-01-01T00:00:00"/>
    <s v="Controles"/>
    <x v="272"/>
    <m/>
    <m/>
    <d v="2026-01-13T08:41:08"/>
    <d v="2026-01-13T08:41:08"/>
    <x v="0"/>
    <m/>
  </r>
  <r>
    <n v="379"/>
    <x v="17"/>
    <d v="2026-01-01T00:00:00"/>
    <s v="Controles"/>
    <x v="273"/>
    <m/>
    <m/>
    <d v="2026-01-13T08:41:08"/>
    <d v="2026-01-13T08:41:08"/>
    <x v="0"/>
    <m/>
  </r>
  <r>
    <n v="380"/>
    <x v="17"/>
    <d v="2026-01-01T00:00:00"/>
    <s v="Controles"/>
    <x v="274"/>
    <m/>
    <m/>
    <d v="2026-01-13T08:41:08"/>
    <d v="2026-01-13T08:41:08"/>
    <x v="0"/>
    <m/>
  </r>
  <r>
    <n v="381"/>
    <x v="17"/>
    <d v="2026-01-01T00:00:00"/>
    <s v="Controles"/>
    <x v="275"/>
    <m/>
    <m/>
    <d v="2026-01-13T08:41:08"/>
    <d v="2026-01-13T08:41:08"/>
    <x v="0"/>
    <m/>
  </r>
  <r>
    <n v="382"/>
    <x v="17"/>
    <d v="2026-01-01T00:00:00"/>
    <s v="Controles"/>
    <x v="276"/>
    <m/>
    <m/>
    <d v="2026-01-13T08:41:08"/>
    <d v="2026-01-13T08:41:08"/>
    <x v="0"/>
    <m/>
  </r>
  <r>
    <n v="383"/>
    <x v="17"/>
    <d v="2026-01-01T00:00:00"/>
    <s v="Controles"/>
    <x v="277"/>
    <m/>
    <m/>
    <d v="2026-01-13T08:41:08"/>
    <d v="2026-01-13T08:41:08"/>
    <x v="0"/>
    <m/>
  </r>
  <r>
    <n v="384"/>
    <x v="17"/>
    <d v="2026-01-01T00:00:00"/>
    <s v="Controles"/>
    <x v="278"/>
    <m/>
    <m/>
    <d v="2026-01-13T08:41:08"/>
    <d v="2026-01-13T08:41:08"/>
    <x v="0"/>
    <m/>
  </r>
  <r>
    <n v="385"/>
    <x v="17"/>
    <d v="2026-01-01T00:00:00"/>
    <s v="Controles"/>
    <x v="279"/>
    <m/>
    <m/>
    <d v="2026-01-13T08:41:08"/>
    <d v="2026-01-13T08:41:08"/>
    <x v="0"/>
    <m/>
  </r>
  <r>
    <n v="386"/>
    <x v="17"/>
    <d v="2026-01-01T00:00:00"/>
    <s v="Controles"/>
    <x v="280"/>
    <m/>
    <m/>
    <d v="2026-01-13T08:41:08"/>
    <d v="2026-01-13T08:41:08"/>
    <x v="0"/>
    <m/>
  </r>
  <r>
    <n v="387"/>
    <x v="17"/>
    <d v="2026-01-01T00:00:00"/>
    <s v="Controles"/>
    <x v="281"/>
    <m/>
    <m/>
    <d v="2026-01-13T08:41:08"/>
    <d v="2026-01-13T08:41:08"/>
    <x v="0"/>
    <m/>
  </r>
  <r>
    <n v="388"/>
    <x v="17"/>
    <d v="2026-01-01T00:00:00"/>
    <s v="Controles"/>
    <x v="282"/>
    <m/>
    <m/>
    <d v="2026-01-13T08:41:08"/>
    <d v="2026-01-13T08:41:08"/>
    <x v="0"/>
    <m/>
  </r>
  <r>
    <n v="389"/>
    <x v="17"/>
    <d v="2026-01-01T00:00:00"/>
    <s v="Controles"/>
    <x v="283"/>
    <m/>
    <m/>
    <d v="2026-01-13T08:41:08"/>
    <d v="2026-01-13T08:41:08"/>
    <x v="0"/>
    <m/>
  </r>
  <r>
    <n v="390"/>
    <x v="17"/>
    <d v="2026-01-01T00:00:00"/>
    <s v="Controles"/>
    <x v="284"/>
    <m/>
    <m/>
    <d v="2026-01-13T08:41:09"/>
    <d v="2026-01-13T08:41:09"/>
    <x v="0"/>
    <m/>
  </r>
  <r>
    <n v="391"/>
    <x v="17"/>
    <d v="2026-01-01T00:00:00"/>
    <s v="Controles"/>
    <x v="285"/>
    <m/>
    <m/>
    <d v="2026-01-13T08:41:09"/>
    <d v="2026-01-13T08:41:09"/>
    <x v="0"/>
    <m/>
  </r>
  <r>
    <n v="392"/>
    <x v="17"/>
    <d v="2026-01-01T00:00:00"/>
    <s v="Controles"/>
    <x v="286"/>
    <m/>
    <m/>
    <d v="2026-01-13T08:41:09"/>
    <d v="2026-01-13T08:41:09"/>
    <x v="0"/>
    <m/>
  </r>
  <r>
    <n v="393"/>
    <x v="17"/>
    <d v="2026-01-01T00:00:00"/>
    <s v="Controles"/>
    <x v="287"/>
    <m/>
    <m/>
    <d v="2026-01-13T08:41:09"/>
    <d v="2026-01-13T08:41:09"/>
    <x v="0"/>
    <m/>
  </r>
  <r>
    <n v="394"/>
    <x v="17"/>
    <d v="2026-01-01T00:00:00"/>
    <s v="Transporte ME"/>
    <x v="288"/>
    <m/>
    <m/>
    <d v="2026-02-16T11:14:56"/>
    <d v="2026-02-16T11:14:56"/>
    <x v="0"/>
    <m/>
  </r>
  <r>
    <n v="395"/>
    <x v="17"/>
    <d v="2026-01-01T00:00:00"/>
    <s v="Transporte ME"/>
    <x v="289"/>
    <m/>
    <m/>
    <d v="2026-02-16T11:15:08"/>
    <d v="2026-02-16T11:15:08"/>
    <x v="0"/>
    <m/>
  </r>
  <r>
    <n v="396"/>
    <x v="17"/>
    <d v="2026-01-01T00:00:00"/>
    <s v="Transporte ME"/>
    <x v="290"/>
    <m/>
    <m/>
    <d v="2026-02-16T11:15:17"/>
    <d v="2026-02-16T11:15:17"/>
    <x v="0"/>
    <m/>
  </r>
  <r>
    <n v="397"/>
    <x v="17"/>
    <d v="2026-01-01T00:00:00"/>
    <s v="Transporte ME"/>
    <x v="291"/>
    <m/>
    <m/>
    <d v="2026-02-16T11:15:36"/>
    <d v="2026-02-16T11:15:36"/>
    <x v="0"/>
    <m/>
  </r>
  <r>
    <n v="398"/>
    <x v="17"/>
    <d v="2026-01-01T00:00:00"/>
    <s v="Transporte ME"/>
    <x v="292"/>
    <m/>
    <m/>
    <d v="2026-02-16T11:15:58"/>
    <d v="2026-02-16T11:15:58"/>
    <x v="0"/>
    <m/>
  </r>
  <r>
    <n v="399"/>
    <x v="17"/>
    <d v="2026-01-01T00:00:00"/>
    <s v="Transporte ME"/>
    <x v="293"/>
    <m/>
    <m/>
    <d v="2026-02-16T11:17:57"/>
    <d v="2026-02-16T11:17:57"/>
    <x v="0"/>
    <m/>
  </r>
  <r>
    <n v="400"/>
    <x v="17"/>
    <d v="2026-01-01T00:00:00"/>
    <s v="Transporte ME"/>
    <x v="294"/>
    <m/>
    <m/>
    <d v="2026-02-16T11:18:31"/>
    <d v="2026-02-16T11:18:31"/>
    <x v="0"/>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r>
    <m/>
    <x v="18"/>
    <m/>
    <m/>
    <x v="295"/>
    <m/>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107674-AA48-403C-A524-32268BB597B0}" name="Tabela dinâmica1" cacheId="0"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location ref="B3:G23" firstHeaderRow="1" firstDataRow="2" firstDataCol="2"/>
  <pivotFields count="11">
    <pivotField compact="0" outline="0" showAll="0" defaultSubtotal="0"/>
    <pivotField axis="axisRow" compact="0" outline="0" showAll="0" sortType="descending" defaultSubtotal="0">
      <items count="20">
        <item sd="0" x="0"/>
        <item sd="0" x="3"/>
        <item sd="0" x="1"/>
        <item sd="0" x="4"/>
        <item sd="0" x="18"/>
        <item sd="0" x="6"/>
        <item sd="0" m="1" x="19"/>
        <item sd="0" x="7"/>
        <item sd="0" x="2"/>
        <item sd="0" x="5"/>
        <item sd="0" x="8"/>
        <item sd="0" x="9"/>
        <item sd="0" x="10"/>
        <item sd="0" x="11"/>
        <item sd="0" x="12"/>
        <item sd="0" x="13"/>
        <item sd="0" x="14"/>
        <item sd="0" x="15"/>
        <item sd="0" x="16"/>
        <item sd="0" x="1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axis="axisRow" dataField="1" compact="0" outline="0" showAll="0" defaultSubtotal="0">
      <items count="302">
        <item x="83"/>
        <item m="1" x="297"/>
        <item x="26"/>
        <item x="42"/>
        <item x="28"/>
        <item m="1" x="298"/>
        <item x="72"/>
        <item x="71"/>
        <item x="70"/>
        <item x="16"/>
        <item m="1" x="301"/>
        <item x="44"/>
        <item x="24"/>
        <item x="22"/>
        <item x="63"/>
        <item x="48"/>
        <item x="9"/>
        <item x="80"/>
        <item x="81"/>
        <item x="49"/>
        <item x="23"/>
        <item x="84"/>
        <item x="40"/>
        <item m="1" x="296"/>
        <item x="73"/>
        <item x="17"/>
        <item x="64"/>
        <item x="66"/>
        <item x="43"/>
        <item x="56"/>
        <item x="20"/>
        <item x="46"/>
        <item x="53"/>
        <item x="59"/>
        <item x="37"/>
        <item x="47"/>
        <item x="21"/>
        <item x="79"/>
        <item x="77"/>
        <item x="15"/>
        <item x="78"/>
        <item x="85"/>
        <item x="67"/>
        <item x="51"/>
        <item x="50"/>
        <item x="38"/>
        <item x="45"/>
        <item x="88"/>
        <item x="11"/>
        <item x="14"/>
        <item x="6"/>
        <item x="12"/>
        <item x="68"/>
        <item x="25"/>
        <item x="30"/>
        <item x="33"/>
        <item x="18"/>
        <item x="2"/>
        <item x="3"/>
        <item x="61"/>
        <item x="58"/>
        <item x="39"/>
        <item x="57"/>
        <item x="60"/>
        <item x="32"/>
        <item x="4"/>
        <item x="5"/>
        <item x="65"/>
        <item x="27"/>
        <item x="87"/>
        <item x="29"/>
        <item x="31"/>
        <item x="34"/>
        <item x="0"/>
        <item x="7"/>
        <item x="82"/>
        <item x="86"/>
        <item x="74"/>
        <item x="8"/>
        <item x="75"/>
        <item x="76"/>
        <item x="10"/>
        <item x="13"/>
        <item x="19"/>
        <item x="55"/>
        <item x="89"/>
        <item x="36"/>
        <item x="35"/>
        <item x="69"/>
        <item x="54"/>
        <item x="295"/>
        <item x="90"/>
        <item x="91"/>
        <item x="92"/>
        <item x="93"/>
        <item x="1"/>
        <item x="41"/>
        <item x="52"/>
        <item x="94"/>
        <item x="95"/>
        <item x="96"/>
        <item x="97"/>
        <item x="98"/>
        <item x="99"/>
        <item x="100"/>
        <item x="101"/>
        <item x="102"/>
        <item m="1" x="300"/>
        <item x="104"/>
        <item x="105"/>
        <item x="106"/>
        <item x="107"/>
        <item x="108"/>
        <item x="109"/>
        <item x="110"/>
        <item x="111"/>
        <item m="1" x="299"/>
        <item x="112"/>
        <item x="113"/>
        <item x="114"/>
        <item x="115"/>
        <item x="116"/>
        <item x="117"/>
        <item x="118"/>
        <item x="119"/>
        <item x="120"/>
        <item x="121"/>
        <item x="122"/>
        <item x="123"/>
        <item x="124"/>
        <item x="125"/>
        <item x="126"/>
        <item x="127"/>
        <item x="128"/>
        <item x="129"/>
        <item x="62"/>
        <item x="103"/>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s>
    </pivotField>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6">
        <item x="1"/>
        <item x="0"/>
        <item x="2"/>
        <item h="1" x="4"/>
        <item h="1" m="1" x="5"/>
        <item h="1" x="3"/>
      </items>
    </pivotField>
    <pivotField compact="0" outline="0" showAll="0" defaultSubtotal="0"/>
  </pivotFields>
  <rowFields count="2">
    <field x="1"/>
    <field x="4"/>
  </rowFields>
  <rowItems count="19">
    <i>
      <x v="19"/>
    </i>
    <i>
      <x v="5"/>
    </i>
    <i>
      <x v="2"/>
    </i>
    <i>
      <x v="8"/>
    </i>
    <i>
      <x v="14"/>
    </i>
    <i>
      <x v="13"/>
    </i>
    <i>
      <x v="17"/>
    </i>
    <i>
      <x/>
    </i>
    <i>
      <x v="1"/>
    </i>
    <i>
      <x v="15"/>
    </i>
    <i>
      <x v="12"/>
    </i>
    <i>
      <x v="16"/>
    </i>
    <i>
      <x v="11"/>
    </i>
    <i>
      <x v="18"/>
    </i>
    <i>
      <x v="9"/>
    </i>
    <i>
      <x v="3"/>
    </i>
    <i>
      <x v="7"/>
    </i>
    <i>
      <x v="10"/>
    </i>
    <i t="grand">
      <x/>
    </i>
  </rowItems>
  <colFields count="1">
    <field x="9"/>
  </colFields>
  <colItems count="4">
    <i>
      <x/>
    </i>
    <i>
      <x v="1"/>
    </i>
    <i>
      <x v="2"/>
    </i>
    <i t="grand">
      <x/>
    </i>
  </colItems>
  <dataFields count="1">
    <dataField name="Contagem de AÇÃO" fld="4" subtotal="count" baseField="0" baseItem="0"/>
  </dataFields>
  <formats count="5">
    <format dxfId="19">
      <pivotArea outline="0" collapsedLevelsAreSubtotals="1" fieldPosition="0"/>
    </format>
    <format dxfId="18">
      <pivotArea field="9" type="button" dataOnly="0" labelOnly="1" outline="0" axis="axisCol" fieldPosition="0"/>
    </format>
    <format dxfId="17">
      <pivotArea type="topRight" dataOnly="0" labelOnly="1" outline="0" fieldPosition="0"/>
    </format>
    <format dxfId="16">
      <pivotArea dataOnly="0" labelOnly="1" outline="0" fieldPosition="0">
        <references count="1">
          <reference field="9" count="0"/>
        </references>
      </pivotArea>
    </format>
    <format dxfId="15">
      <pivotArea dataOnly="0" labelOnly="1" grandCol="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Projeto" xr10:uid="{AC4D25C5-580B-4A18-9ADD-499C2624B89C}" sourceName="Projeto">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_REF." xr10:uid="{57F923FA-3B8E-437F-9B10-D5BA4502E286}" sourceName="MÊS REF.">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 xr10:uid="{161F8996-DB86-4701-863E-62BB36A26077}" sourceName="STATUS">
  <extLst>
    <x:ext xmlns:x15="http://schemas.microsoft.com/office/spreadsheetml/2010/11/main" uri="{2F2917AC-EB37-4324-AD4E-5DD8C200BD13}">
      <x15:tableSlicerCache tableId="1"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ÁREA___PROCESSO" xr10:uid="{C6A15ECA-48B5-41D4-9A37-180D7F2517CF}" sourceName="ÁREA | PROCESSO">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to" xr10:uid="{F5464B1A-416C-475C-A9E6-926EEB771B73}" cache="SegmentaçãodeDados_Projeto" caption="Projeto" startItem="9" columnCount="3" style="SlicerStyleDark1" rowHeight="241300"/>
  <slicer name="MÊS REF." xr10:uid="{553CB010-5FF2-486A-9BCB-4843A279D5AA}" cache="SegmentaçãodeDados_MÊS_REF." caption="MÊS REF." columnCount="2" style="SlicerStyleDark1" rowHeight="241300"/>
  <slicer name="STATUS" xr10:uid="{682BEFF6-D06F-457C-B48F-B355CC8ED1EA}" cache="SegmentaçãodeDados_STATUS" caption="STATUS" columnCount="2" style="SlicerStyleDark1" rowHeight="241300"/>
  <slicer name="ÁREA | PROCESSO" xr10:uid="{E7B19EED-43FF-4A09-9C6B-C31ACE4D081A}" cache="SegmentaçãodeDados_ÁREA___PROCESSO" caption="ÁREA | PROCESSO" columnCount="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86E0F-37EA-4CDE-A54D-1815E28E6664}" name="Tabela1" displayName="Tabela1" ref="A2:K1025" totalsRowCount="1" headerRowDxfId="45" headerRowBorderDxfId="44" tableBorderDxfId="43" totalsRowBorderDxfId="42">
  <autoFilter ref="A2:K1024" xr:uid="{652289F8-6A12-43A8-A5F8-83F76E54F001}"/>
  <tableColumns count="11">
    <tableColumn id="1" xr3:uid="{2B9F533B-59A4-478C-8AED-1C15C55355FB}" name="ID" dataDxfId="41" totalsRowDxfId="40">
      <calculatedColumnFormula>A2+1</calculatedColumnFormula>
    </tableColumn>
    <tableColumn id="2" xr3:uid="{9F2F3CEA-2657-466B-AFF6-50D1E70F683F}" name="Projeto" dataDxfId="39" totalsRowDxfId="38"/>
    <tableColumn id="3" xr3:uid="{72528E3D-C48D-4A87-9E78-C3B111D6F758}" name="MÊS REF." dataDxfId="37" totalsRowDxfId="36"/>
    <tableColumn id="4" xr3:uid="{96C0B8B7-9677-4890-89C4-091E9DD97361}" name="ÁREA | PROCESSO" dataDxfId="35" totalsRowDxfId="34"/>
    <tableColumn id="5" xr3:uid="{5BB9EFB1-DDDE-4D7C-8F28-7B0C12283667}" name="AÇÃO" dataDxfId="33" totalsRowDxfId="32"/>
    <tableColumn id="6" xr3:uid="{BCEC90A9-1C62-4234-B841-42CF3FC95CCB}" name="QUEM" dataDxfId="31" totalsRowDxfId="30"/>
    <tableColumn id="7" xr3:uid="{B529145E-81F7-417D-8FCA-5EB335D01ADB}" name="Tempo (h)" dataDxfId="29" totalsRowDxfId="28"/>
    <tableColumn id="8" xr3:uid="{F7636F72-12D1-4357-AAF8-8E57B7497108}" name="INÍCIO" dataDxfId="27" totalsRowDxfId="26"/>
    <tableColumn id="9" xr3:uid="{6F59B627-D4E8-4322-A039-1344683C3CE7}" name="FIM" dataDxfId="25" totalsRowDxfId="24"/>
    <tableColumn id="10" xr3:uid="{202195FC-2E2C-40A6-8279-A7A9E7B9EBB6}" name="STATUS" dataDxfId="23" totalsRowDxfId="22"/>
    <tableColumn id="11" xr3:uid="{CDED58BF-EECF-4FA9-A01D-2765068B9BE3}" name="OBSERVAÇÕES" dataDxfId="21" totalsRowDxfId="2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app.asana.com/1/1202089496430608/project/1209118798171970/task/1211302591910137" TargetMode="External"/><Relationship Id="rId7" Type="http://schemas.openxmlformats.org/officeDocument/2006/relationships/drawing" Target="../drawings/drawing1.xml"/><Relationship Id="rId2" Type="http://schemas.openxmlformats.org/officeDocument/2006/relationships/hyperlink" Target="https://app.asana.com/1/1202089496430608/project/1213401514823940/task/1213441711231106" TargetMode="External"/><Relationship Id="rId1" Type="http://schemas.openxmlformats.org/officeDocument/2006/relationships/hyperlink" Target="https://app.asana.com/1/1202089496430608/project/1213525400999146/task/1213561114184230" TargetMode="External"/><Relationship Id="rId6" Type="http://schemas.openxmlformats.org/officeDocument/2006/relationships/printerSettings" Target="../printerSettings/printerSettings1.bin"/><Relationship Id="rId11" Type="http://schemas.openxmlformats.org/officeDocument/2006/relationships/comments" Target="../comments1.xml"/><Relationship Id="rId5" Type="http://schemas.openxmlformats.org/officeDocument/2006/relationships/hyperlink" Target="https://app.asana.com/1/1202089496430608/project/1209118798171970/task/1212717835730822" TargetMode="External"/><Relationship Id="rId10" Type="http://schemas.microsoft.com/office/2007/relationships/slicer" Target="../slicers/slicer1.xml"/><Relationship Id="rId4" Type="http://schemas.openxmlformats.org/officeDocument/2006/relationships/hyperlink" Target="https://app.asana.com/1/1202089496430608/project/1209118798171970/task/1211302591910135" TargetMode="Externa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FA84-17A6-4683-B274-31DBAC4EEA67}">
  <dimension ref="B1:G28"/>
  <sheetViews>
    <sheetView showGridLines="0" topLeftCell="A4" workbookViewId="0">
      <selection activeCell="J7" sqref="J7"/>
    </sheetView>
  </sheetViews>
  <sheetFormatPr defaultRowHeight="15"/>
  <cols>
    <col min="1" max="1" width="3.42578125" customWidth="1"/>
    <col min="2" max="2" width="18.42578125" bestFit="1" customWidth="1"/>
    <col min="3" max="3" width="8" bestFit="1" customWidth="1"/>
    <col min="4" max="6" width="12.28515625" style="35" bestFit="1" customWidth="1"/>
    <col min="7" max="7" width="9.7109375" style="35" bestFit="1" customWidth="1"/>
    <col min="8" max="8" width="9.7109375" bestFit="1" customWidth="1"/>
    <col min="9" max="9" width="10.7109375" bestFit="1" customWidth="1"/>
  </cols>
  <sheetData>
    <row r="1" spans="2:7" hidden="1"/>
    <row r="2" spans="2:7" hidden="1"/>
    <row r="3" spans="2:7" hidden="1">
      <c r="B3" s="29" t="s">
        <v>0</v>
      </c>
      <c r="D3" s="36" t="s">
        <v>1</v>
      </c>
    </row>
    <row r="4" spans="2:7">
      <c r="B4" s="29" t="s">
        <v>2</v>
      </c>
      <c r="C4" s="29" t="s">
        <v>3</v>
      </c>
      <c r="D4" s="35" t="s">
        <v>4</v>
      </c>
      <c r="E4" s="35" t="s">
        <v>5</v>
      </c>
      <c r="F4" s="35" t="s">
        <v>6</v>
      </c>
      <c r="G4" s="35" t="s">
        <v>7</v>
      </c>
    </row>
    <row r="5" spans="2:7">
      <c r="B5" t="s">
        <v>8</v>
      </c>
      <c r="E5" s="35">
        <v>69</v>
      </c>
      <c r="G5" s="35">
        <v>69</v>
      </c>
    </row>
    <row r="6" spans="2:7">
      <c r="B6" t="s">
        <v>9</v>
      </c>
      <c r="D6" s="35">
        <v>3</v>
      </c>
      <c r="F6" s="35">
        <v>55</v>
      </c>
      <c r="G6" s="35">
        <v>58</v>
      </c>
    </row>
    <row r="7" spans="2:7">
      <c r="B7" t="s">
        <v>10</v>
      </c>
      <c r="E7" s="35">
        <v>41</v>
      </c>
      <c r="G7" s="35">
        <v>41</v>
      </c>
    </row>
    <row r="8" spans="2:7">
      <c r="B8" t="s">
        <v>11</v>
      </c>
      <c r="D8" s="35">
        <v>12</v>
      </c>
      <c r="E8" s="35">
        <v>1</v>
      </c>
      <c r="F8" s="35">
        <v>25</v>
      </c>
      <c r="G8" s="35">
        <v>38</v>
      </c>
    </row>
    <row r="9" spans="2:7">
      <c r="B9" t="s">
        <v>12</v>
      </c>
      <c r="E9" s="35">
        <v>29</v>
      </c>
      <c r="G9" s="35">
        <v>29</v>
      </c>
    </row>
    <row r="10" spans="2:7">
      <c r="B10" t="s">
        <v>13</v>
      </c>
      <c r="E10" s="35">
        <v>29</v>
      </c>
      <c r="G10" s="35">
        <v>29</v>
      </c>
    </row>
    <row r="11" spans="2:7">
      <c r="B11" t="s">
        <v>14</v>
      </c>
      <c r="D11" s="35">
        <v>27</v>
      </c>
      <c r="E11" s="35">
        <v>1</v>
      </c>
      <c r="G11" s="35">
        <v>28</v>
      </c>
    </row>
    <row r="12" spans="2:7">
      <c r="B12" t="s">
        <v>15</v>
      </c>
      <c r="D12" s="35">
        <v>5</v>
      </c>
      <c r="E12" s="35">
        <v>21</v>
      </c>
      <c r="G12" s="35">
        <v>26</v>
      </c>
    </row>
    <row r="13" spans="2:7">
      <c r="B13" t="s">
        <v>16</v>
      </c>
      <c r="D13" s="35">
        <v>4</v>
      </c>
      <c r="E13" s="35">
        <v>10</v>
      </c>
      <c r="G13" s="35">
        <v>14</v>
      </c>
    </row>
    <row r="14" spans="2:7">
      <c r="B14" t="s">
        <v>17</v>
      </c>
      <c r="E14" s="35">
        <v>8</v>
      </c>
      <c r="G14" s="35">
        <v>8</v>
      </c>
    </row>
    <row r="15" spans="2:7">
      <c r="B15" t="s">
        <v>18</v>
      </c>
      <c r="D15" s="35">
        <v>2</v>
      </c>
      <c r="E15" s="35">
        <v>5</v>
      </c>
      <c r="G15" s="35">
        <v>7</v>
      </c>
    </row>
    <row r="16" spans="2:7">
      <c r="B16" t="s">
        <v>19</v>
      </c>
      <c r="E16" s="35">
        <v>6</v>
      </c>
      <c r="G16" s="35">
        <v>6</v>
      </c>
    </row>
    <row r="17" spans="2:7">
      <c r="B17" t="s">
        <v>20</v>
      </c>
      <c r="D17" s="35">
        <v>1</v>
      </c>
      <c r="E17" s="35">
        <v>5</v>
      </c>
      <c r="G17" s="35">
        <v>6</v>
      </c>
    </row>
    <row r="18" spans="2:7">
      <c r="B18" t="s">
        <v>21</v>
      </c>
      <c r="D18" s="35">
        <v>1</v>
      </c>
      <c r="E18" s="35">
        <v>5</v>
      </c>
      <c r="G18" s="35">
        <v>6</v>
      </c>
    </row>
    <row r="19" spans="2:7">
      <c r="B19" t="s">
        <v>22</v>
      </c>
      <c r="D19" s="35">
        <v>4</v>
      </c>
      <c r="F19" s="35">
        <v>1</v>
      </c>
      <c r="G19" s="35">
        <v>5</v>
      </c>
    </row>
    <row r="20" spans="2:7">
      <c r="B20" t="s">
        <v>23</v>
      </c>
      <c r="E20" s="35">
        <v>5</v>
      </c>
      <c r="G20" s="35">
        <v>5</v>
      </c>
    </row>
    <row r="21" spans="2:7">
      <c r="B21" t="s">
        <v>24</v>
      </c>
      <c r="D21" s="35">
        <v>2</v>
      </c>
      <c r="G21" s="35">
        <v>2</v>
      </c>
    </row>
    <row r="22" spans="2:7">
      <c r="B22" t="s">
        <v>25</v>
      </c>
      <c r="F22" s="35">
        <v>1</v>
      </c>
      <c r="G22" s="35">
        <v>1</v>
      </c>
    </row>
    <row r="23" spans="2:7">
      <c r="B23" t="s">
        <v>7</v>
      </c>
      <c r="D23" s="35">
        <v>61</v>
      </c>
      <c r="E23" s="35">
        <v>235</v>
      </c>
      <c r="F23" s="35">
        <v>82</v>
      </c>
      <c r="G23" s="35">
        <v>378</v>
      </c>
    </row>
    <row r="24" spans="2:7">
      <c r="D24"/>
      <c r="E24"/>
      <c r="F24"/>
      <c r="G24"/>
    </row>
    <row r="25" spans="2:7">
      <c r="D25"/>
      <c r="E25"/>
      <c r="F25"/>
      <c r="G25"/>
    </row>
    <row r="26" spans="2:7">
      <c r="D26"/>
      <c r="E26"/>
      <c r="F26"/>
      <c r="G26"/>
    </row>
    <row r="27" spans="2:7">
      <c r="D27"/>
      <c r="E27"/>
      <c r="F27"/>
      <c r="G27"/>
    </row>
    <row r="28" spans="2:7">
      <c r="D28"/>
      <c r="E28"/>
      <c r="F28"/>
      <c r="G28"/>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F2796-970C-4EEF-B56B-2A01374E55E4}">
  <sheetPr codeName="Planilha1">
    <tabColor theme="6" tint="0.59999389629810485"/>
  </sheetPr>
  <dimension ref="A1:XEZ1027"/>
  <sheetViews>
    <sheetView showGridLines="0" tabSelected="1" zoomScaleNormal="100" workbookViewId="0">
      <pane ySplit="2" topLeftCell="A3" activePane="bottomLeft" state="frozen"/>
      <selection pane="bottomLeft" activeCell="A3" sqref="A3"/>
    </sheetView>
  </sheetViews>
  <sheetFormatPr defaultColWidth="9" defaultRowHeight="15"/>
  <cols>
    <col min="1" max="1" width="9" style="13"/>
    <col min="2" max="2" width="18" style="13" customWidth="1"/>
    <col min="3" max="3" width="11.140625" style="12" customWidth="1"/>
    <col min="4" max="4" width="17" style="12" customWidth="1"/>
    <col min="5" max="5" width="47.85546875" style="12" customWidth="1"/>
    <col min="6" max="6" width="14.42578125" style="12" bestFit="1" customWidth="1"/>
    <col min="7" max="7" width="11.7109375" style="12" customWidth="1"/>
    <col min="8" max="8" width="11.140625" style="32" bestFit="1" customWidth="1"/>
    <col min="9" max="9" width="10.140625" style="12" bestFit="1" customWidth="1"/>
    <col min="10" max="10" width="16.5703125" style="12" customWidth="1"/>
    <col min="11" max="11" width="193.7109375" style="12" customWidth="1"/>
    <col min="12" max="16384" width="9" style="12"/>
  </cols>
  <sheetData>
    <row r="1" spans="1:11 16380:16380" ht="24.75" thickBot="1">
      <c r="A1" s="39" t="s">
        <v>26</v>
      </c>
      <c r="B1" s="39"/>
      <c r="C1" s="33"/>
      <c r="D1" s="14"/>
      <c r="E1" s="14"/>
      <c r="F1" s="14"/>
      <c r="G1" s="14"/>
      <c r="I1" s="14"/>
      <c r="J1" s="14"/>
      <c r="XEZ1" s="12">
        <v>1</v>
      </c>
    </row>
    <row r="2" spans="1:11 16380:16380" ht="52.5" customHeight="1">
      <c r="A2" s="16" t="s">
        <v>27</v>
      </c>
      <c r="B2" s="17" t="s">
        <v>2</v>
      </c>
      <c r="C2" s="18" t="s">
        <v>28</v>
      </c>
      <c r="D2" s="17" t="s">
        <v>29</v>
      </c>
      <c r="E2" s="17" t="s">
        <v>3</v>
      </c>
      <c r="F2" s="17" t="s">
        <v>30</v>
      </c>
      <c r="G2" s="17" t="s">
        <v>31</v>
      </c>
      <c r="H2" s="17" t="s">
        <v>32</v>
      </c>
      <c r="I2" s="19" t="s">
        <v>33</v>
      </c>
      <c r="J2" s="17" t="s">
        <v>1</v>
      </c>
      <c r="K2" s="20" t="s">
        <v>34</v>
      </c>
    </row>
    <row r="3" spans="1:11 16380:16380" ht="204">
      <c r="A3" s="15">
        <v>1</v>
      </c>
      <c r="B3" s="6" t="s">
        <v>15</v>
      </c>
      <c r="C3" s="10">
        <v>46204</v>
      </c>
      <c r="D3" s="11" t="s">
        <v>35</v>
      </c>
      <c r="E3" s="5" t="s">
        <v>36</v>
      </c>
      <c r="F3" s="6" t="s">
        <v>37</v>
      </c>
      <c r="G3" s="6"/>
      <c r="H3" s="32">
        <v>46206</v>
      </c>
      <c r="I3" s="7">
        <v>46206</v>
      </c>
      <c r="J3" s="8" t="s">
        <v>5</v>
      </c>
      <c r="K3" s="9"/>
    </row>
    <row r="4" spans="1:11 16380:16380" ht="63.75">
      <c r="A4" s="15">
        <f>A3+1</f>
        <v>2</v>
      </c>
      <c r="B4" s="6" t="s">
        <v>15</v>
      </c>
      <c r="C4" s="10">
        <v>46204</v>
      </c>
      <c r="D4" s="11" t="s">
        <v>38</v>
      </c>
      <c r="E4" s="5" t="s">
        <v>39</v>
      </c>
      <c r="F4" s="6" t="s">
        <v>40</v>
      </c>
      <c r="G4" s="6"/>
      <c r="H4" s="32">
        <v>46220</v>
      </c>
      <c r="I4" s="7">
        <v>46212</v>
      </c>
      <c r="J4" s="8" t="s">
        <v>5</v>
      </c>
      <c r="K4" s="9" t="s">
        <v>41</v>
      </c>
    </row>
    <row r="5" spans="1:11 16380:16380" ht="25.5">
      <c r="A5" s="15">
        <f t="shared" ref="A5:A68" si="0">A4+1</f>
        <v>3</v>
      </c>
      <c r="B5" s="6" t="s">
        <v>15</v>
      </c>
      <c r="C5" s="10">
        <v>46204</v>
      </c>
      <c r="D5" s="11" t="s">
        <v>35</v>
      </c>
      <c r="E5" s="5" t="s">
        <v>42</v>
      </c>
      <c r="F5" s="6" t="s">
        <v>37</v>
      </c>
      <c r="G5" s="6"/>
      <c r="H5" s="32">
        <v>46220</v>
      </c>
      <c r="I5" s="7"/>
      <c r="J5" s="8" t="s">
        <v>5</v>
      </c>
      <c r="K5" s="9" t="s">
        <v>43</v>
      </c>
    </row>
    <row r="6" spans="1:11 16380:16380" ht="25.5">
      <c r="A6" s="15">
        <f t="shared" si="0"/>
        <v>4</v>
      </c>
      <c r="B6" s="6" t="s">
        <v>15</v>
      </c>
      <c r="C6" s="10">
        <v>46204</v>
      </c>
      <c r="D6" s="11" t="s">
        <v>35</v>
      </c>
      <c r="E6" s="5" t="s">
        <v>44</v>
      </c>
      <c r="F6" s="6" t="s">
        <v>37</v>
      </c>
      <c r="G6" s="6"/>
      <c r="H6" s="32">
        <v>46220</v>
      </c>
      <c r="I6" s="7"/>
      <c r="J6" s="8" t="s">
        <v>5</v>
      </c>
      <c r="K6" s="9" t="s">
        <v>43</v>
      </c>
    </row>
    <row r="7" spans="1:11 16380:16380" ht="25.5">
      <c r="A7" s="15">
        <f t="shared" si="0"/>
        <v>5</v>
      </c>
      <c r="B7" s="6" t="s">
        <v>15</v>
      </c>
      <c r="C7" s="10">
        <v>46204</v>
      </c>
      <c r="D7" s="11" t="s">
        <v>38</v>
      </c>
      <c r="E7" s="5" t="s">
        <v>45</v>
      </c>
      <c r="F7" s="6" t="s">
        <v>46</v>
      </c>
      <c r="G7" s="6"/>
      <c r="H7" s="32">
        <v>46210</v>
      </c>
      <c r="I7" s="7">
        <v>46210</v>
      </c>
      <c r="J7" s="8" t="s">
        <v>5</v>
      </c>
      <c r="K7" s="9"/>
    </row>
    <row r="8" spans="1:11 16380:16380" ht="38.25">
      <c r="A8" s="15">
        <f t="shared" si="0"/>
        <v>6</v>
      </c>
      <c r="B8" s="6" t="s">
        <v>15</v>
      </c>
      <c r="C8" s="10">
        <v>46204</v>
      </c>
      <c r="D8" s="11" t="s">
        <v>38</v>
      </c>
      <c r="E8" s="5" t="s">
        <v>47</v>
      </c>
      <c r="F8" s="6" t="s">
        <v>48</v>
      </c>
      <c r="G8" s="6"/>
      <c r="H8" s="32">
        <v>46212</v>
      </c>
      <c r="I8" s="7">
        <v>46217</v>
      </c>
      <c r="J8" s="8" t="s">
        <v>5</v>
      </c>
      <c r="K8" s="9" t="s">
        <v>49</v>
      </c>
    </row>
    <row r="9" spans="1:11 16380:16380" ht="25.5">
      <c r="A9" s="15">
        <f t="shared" si="0"/>
        <v>7</v>
      </c>
      <c r="B9" s="6" t="s">
        <v>15</v>
      </c>
      <c r="C9" s="10">
        <v>46204</v>
      </c>
      <c r="D9" s="11" t="s">
        <v>38</v>
      </c>
      <c r="E9" s="5" t="s">
        <v>50</v>
      </c>
      <c r="F9" s="6" t="s">
        <v>51</v>
      </c>
      <c r="G9" s="6"/>
      <c r="H9" s="32">
        <v>46216</v>
      </c>
      <c r="I9" s="7">
        <v>46218</v>
      </c>
      <c r="J9" s="8" t="s">
        <v>5</v>
      </c>
      <c r="K9" s="9" t="s">
        <v>52</v>
      </c>
    </row>
    <row r="10" spans="1:11 16380:16380" ht="51">
      <c r="A10" s="15">
        <f t="shared" si="0"/>
        <v>8</v>
      </c>
      <c r="B10" s="6" t="s">
        <v>15</v>
      </c>
      <c r="C10" s="10">
        <v>46204</v>
      </c>
      <c r="D10" s="11" t="s">
        <v>38</v>
      </c>
      <c r="E10" s="5" t="s">
        <v>53</v>
      </c>
      <c r="F10" s="6" t="s">
        <v>51</v>
      </c>
      <c r="G10" s="6"/>
      <c r="H10" s="32">
        <v>46220</v>
      </c>
      <c r="I10" s="7">
        <v>46217</v>
      </c>
      <c r="J10" s="8" t="s">
        <v>5</v>
      </c>
      <c r="K10" s="9" t="s">
        <v>54</v>
      </c>
    </row>
    <row r="11" spans="1:11 16380:16380" ht="38.25">
      <c r="A11" s="15">
        <f t="shared" si="0"/>
        <v>9</v>
      </c>
      <c r="B11" s="6" t="s">
        <v>15</v>
      </c>
      <c r="C11" s="10">
        <v>46204</v>
      </c>
      <c r="D11" s="11" t="s">
        <v>38</v>
      </c>
      <c r="E11" s="5" t="s">
        <v>55</v>
      </c>
      <c r="F11" s="6" t="s">
        <v>56</v>
      </c>
      <c r="G11" s="6"/>
      <c r="H11" s="32">
        <v>46210</v>
      </c>
      <c r="I11" s="7">
        <v>46211</v>
      </c>
      <c r="J11" s="8" t="s">
        <v>5</v>
      </c>
      <c r="K11" s="9"/>
    </row>
    <row r="12" spans="1:11 16380:16380" ht="25.5">
      <c r="A12" s="15">
        <f t="shared" si="0"/>
        <v>10</v>
      </c>
      <c r="B12" s="6" t="s">
        <v>15</v>
      </c>
      <c r="C12" s="10">
        <v>46204</v>
      </c>
      <c r="D12" s="11" t="s">
        <v>38</v>
      </c>
      <c r="E12" s="5" t="s">
        <v>57</v>
      </c>
      <c r="F12" s="6" t="s">
        <v>51</v>
      </c>
      <c r="G12" s="6"/>
      <c r="H12" s="32">
        <v>46233</v>
      </c>
      <c r="I12" s="7"/>
      <c r="J12" s="8" t="s">
        <v>4</v>
      </c>
      <c r="K12" s="9" t="s">
        <v>58</v>
      </c>
    </row>
    <row r="13" spans="1:11 16380:16380" ht="38.25">
      <c r="A13" s="15">
        <f t="shared" si="0"/>
        <v>11</v>
      </c>
      <c r="B13" s="6" t="s">
        <v>15</v>
      </c>
      <c r="C13" s="10">
        <v>46204</v>
      </c>
      <c r="D13" s="11" t="s">
        <v>38</v>
      </c>
      <c r="E13" s="5" t="s">
        <v>59</v>
      </c>
      <c r="F13" s="6" t="s">
        <v>51</v>
      </c>
      <c r="G13" s="6"/>
      <c r="H13" s="32">
        <v>46218</v>
      </c>
      <c r="I13" s="7">
        <v>46211</v>
      </c>
      <c r="J13" s="8" t="s">
        <v>5</v>
      </c>
      <c r="K13" s="9"/>
    </row>
    <row r="14" spans="1:11 16380:16380" ht="38.25">
      <c r="A14" s="15">
        <f t="shared" si="0"/>
        <v>12</v>
      </c>
      <c r="B14" s="6" t="s">
        <v>15</v>
      </c>
      <c r="C14" s="10">
        <v>46204</v>
      </c>
      <c r="D14" s="11" t="s">
        <v>38</v>
      </c>
      <c r="E14" s="5" t="s">
        <v>60</v>
      </c>
      <c r="F14" s="6" t="s">
        <v>61</v>
      </c>
      <c r="G14" s="6"/>
      <c r="H14" s="32">
        <v>46223</v>
      </c>
      <c r="I14" s="7"/>
      <c r="J14" s="8" t="s">
        <v>4</v>
      </c>
      <c r="K14" s="9"/>
    </row>
    <row r="15" spans="1:11 16380:16380" ht="51">
      <c r="A15" s="15">
        <f t="shared" si="0"/>
        <v>13</v>
      </c>
      <c r="B15" s="6" t="s">
        <v>15</v>
      </c>
      <c r="C15" s="10">
        <v>46204</v>
      </c>
      <c r="D15" s="11" t="s">
        <v>38</v>
      </c>
      <c r="E15" s="5" t="s">
        <v>62</v>
      </c>
      <c r="F15" s="6" t="s">
        <v>63</v>
      </c>
      <c r="G15" s="6"/>
      <c r="H15" s="32">
        <v>46182</v>
      </c>
      <c r="I15" s="7">
        <f>H15</f>
        <v>46182</v>
      </c>
      <c r="J15" s="8" t="s">
        <v>5</v>
      </c>
      <c r="K15" s="9" t="s">
        <v>64</v>
      </c>
    </row>
    <row r="16" spans="1:11 16380:16380" ht="38.25">
      <c r="A16" s="15">
        <f t="shared" si="0"/>
        <v>14</v>
      </c>
      <c r="B16" s="6" t="s">
        <v>15</v>
      </c>
      <c r="C16" s="10">
        <v>46204</v>
      </c>
      <c r="D16" s="11" t="s">
        <v>38</v>
      </c>
      <c r="E16" s="5" t="s">
        <v>65</v>
      </c>
      <c r="F16" s="6" t="s">
        <v>51</v>
      </c>
      <c r="G16" s="6"/>
      <c r="H16" s="32">
        <v>46212</v>
      </c>
      <c r="I16" s="7">
        <v>46211</v>
      </c>
      <c r="J16" s="8" t="s">
        <v>5</v>
      </c>
      <c r="K16" s="9"/>
    </row>
    <row r="17" spans="1:11" ht="25.5">
      <c r="A17" s="15">
        <f t="shared" si="0"/>
        <v>15</v>
      </c>
      <c r="B17" s="6" t="s">
        <v>15</v>
      </c>
      <c r="C17" s="10">
        <v>46204</v>
      </c>
      <c r="D17" s="11" t="s">
        <v>38</v>
      </c>
      <c r="E17" s="5" t="s">
        <v>66</v>
      </c>
      <c r="F17" s="6" t="s">
        <v>51</v>
      </c>
      <c r="G17" s="6"/>
      <c r="H17" s="32">
        <v>46211</v>
      </c>
      <c r="I17" s="7">
        <v>46211</v>
      </c>
      <c r="J17" s="8" t="s">
        <v>5</v>
      </c>
      <c r="K17" s="9"/>
    </row>
    <row r="18" spans="1:11" ht="25.5">
      <c r="A18" s="15">
        <f t="shared" si="0"/>
        <v>16</v>
      </c>
      <c r="B18" s="6" t="s">
        <v>15</v>
      </c>
      <c r="C18" s="10">
        <v>46204</v>
      </c>
      <c r="D18" s="11" t="s">
        <v>38</v>
      </c>
      <c r="E18" s="5" t="s">
        <v>67</v>
      </c>
      <c r="F18" s="6" t="s">
        <v>51</v>
      </c>
      <c r="G18" s="6"/>
      <c r="H18" s="32">
        <v>46212</v>
      </c>
      <c r="I18" s="7">
        <v>46210</v>
      </c>
      <c r="J18" s="8" t="s">
        <v>5</v>
      </c>
      <c r="K18" s="9"/>
    </row>
    <row r="19" spans="1:11" ht="38.25">
      <c r="A19" s="15">
        <f t="shared" si="0"/>
        <v>17</v>
      </c>
      <c r="B19" s="6" t="s">
        <v>15</v>
      </c>
      <c r="C19" s="10">
        <v>46204</v>
      </c>
      <c r="D19" s="11" t="s">
        <v>38</v>
      </c>
      <c r="E19" s="5" t="s">
        <v>68</v>
      </c>
      <c r="F19" s="6" t="s">
        <v>69</v>
      </c>
      <c r="G19" s="6"/>
      <c r="H19" s="32">
        <v>46211</v>
      </c>
      <c r="I19" s="7"/>
      <c r="J19" s="8" t="s">
        <v>5</v>
      </c>
      <c r="K19" s="9" t="s">
        <v>70</v>
      </c>
    </row>
    <row r="20" spans="1:11" ht="25.5">
      <c r="A20" s="15">
        <f t="shared" si="0"/>
        <v>18</v>
      </c>
      <c r="B20" s="6" t="s">
        <v>15</v>
      </c>
      <c r="C20" s="10">
        <v>46204</v>
      </c>
      <c r="D20" s="11" t="s">
        <v>38</v>
      </c>
      <c r="E20" s="5" t="s">
        <v>71</v>
      </c>
      <c r="F20" s="6" t="s">
        <v>51</v>
      </c>
      <c r="G20" s="6"/>
      <c r="H20" s="32">
        <v>46252</v>
      </c>
      <c r="I20" s="7">
        <v>46221</v>
      </c>
      <c r="J20" s="8" t="s">
        <v>5</v>
      </c>
      <c r="K20" s="9" t="s">
        <v>72</v>
      </c>
    </row>
    <row r="21" spans="1:11">
      <c r="A21" s="15">
        <f t="shared" si="0"/>
        <v>19</v>
      </c>
      <c r="B21" s="6" t="s">
        <v>10</v>
      </c>
      <c r="C21" s="10">
        <v>46174</v>
      </c>
      <c r="D21" s="11" t="s">
        <v>73</v>
      </c>
      <c r="E21" s="5" t="s">
        <v>74</v>
      </c>
      <c r="F21" s="6" t="s">
        <v>51</v>
      </c>
      <c r="G21" s="6">
        <v>-40</v>
      </c>
      <c r="H21" s="32">
        <v>46174</v>
      </c>
      <c r="I21" s="7">
        <v>46203</v>
      </c>
      <c r="J21" s="8" t="s">
        <v>5</v>
      </c>
      <c r="K21" s="9"/>
    </row>
    <row r="22" spans="1:11">
      <c r="A22" s="15">
        <f t="shared" si="0"/>
        <v>20</v>
      </c>
      <c r="B22" s="6" t="s">
        <v>10</v>
      </c>
      <c r="C22" s="10">
        <v>46174</v>
      </c>
      <c r="D22" s="11" t="s">
        <v>73</v>
      </c>
      <c r="E22" s="5" t="s">
        <v>75</v>
      </c>
      <c r="F22" s="6" t="s">
        <v>51</v>
      </c>
      <c r="G22" s="6">
        <v>-41</v>
      </c>
      <c r="H22" s="32">
        <v>46174</v>
      </c>
      <c r="I22" s="7">
        <v>46203</v>
      </c>
      <c r="J22" s="8" t="s">
        <v>5</v>
      </c>
      <c r="K22" s="9"/>
    </row>
    <row r="23" spans="1:11" ht="25.5">
      <c r="A23" s="15">
        <f t="shared" si="0"/>
        <v>21</v>
      </c>
      <c r="B23" s="6" t="s">
        <v>10</v>
      </c>
      <c r="C23" s="10">
        <v>46174</v>
      </c>
      <c r="D23" s="11" t="s">
        <v>73</v>
      </c>
      <c r="E23" s="5" t="s">
        <v>76</v>
      </c>
      <c r="F23" s="6" t="s">
        <v>77</v>
      </c>
      <c r="G23" s="6">
        <v>8</v>
      </c>
      <c r="H23" s="32">
        <v>46175</v>
      </c>
      <c r="I23" s="7">
        <f>G23/24+H23</f>
        <v>46175.333333333336</v>
      </c>
      <c r="J23" s="8" t="s">
        <v>5</v>
      </c>
      <c r="K23" s="9"/>
    </row>
    <row r="24" spans="1:11" ht="25.5">
      <c r="A24" s="15">
        <f t="shared" si="0"/>
        <v>22</v>
      </c>
      <c r="B24" s="6" t="s">
        <v>10</v>
      </c>
      <c r="C24" s="10">
        <v>46174</v>
      </c>
      <c r="D24" s="11" t="s">
        <v>73</v>
      </c>
      <c r="E24" s="5" t="s">
        <v>78</v>
      </c>
      <c r="F24" s="6" t="s">
        <v>77</v>
      </c>
      <c r="G24" s="6">
        <v>3</v>
      </c>
      <c r="H24" s="32">
        <v>46178</v>
      </c>
      <c r="I24" s="7">
        <f t="shared" ref="I24:I36" si="1">G24/24+H24</f>
        <v>46178.125</v>
      </c>
      <c r="J24" s="8" t="s">
        <v>5</v>
      </c>
      <c r="K24" s="9"/>
    </row>
    <row r="25" spans="1:11" ht="25.5">
      <c r="A25" s="15">
        <f t="shared" si="0"/>
        <v>23</v>
      </c>
      <c r="B25" s="6" t="s">
        <v>10</v>
      </c>
      <c r="C25" s="10">
        <v>46174</v>
      </c>
      <c r="D25" s="11" t="s">
        <v>73</v>
      </c>
      <c r="E25" s="5" t="s">
        <v>79</v>
      </c>
      <c r="F25" s="6" t="s">
        <v>77</v>
      </c>
      <c r="G25" s="6">
        <v>2</v>
      </c>
      <c r="H25" s="32">
        <v>46181</v>
      </c>
      <c r="I25" s="7">
        <f t="shared" si="1"/>
        <v>46181.083333333336</v>
      </c>
      <c r="J25" s="8" t="s">
        <v>5</v>
      </c>
      <c r="K25" s="9"/>
    </row>
    <row r="26" spans="1:11" ht="25.5">
      <c r="A26" s="15">
        <f t="shared" si="0"/>
        <v>24</v>
      </c>
      <c r="B26" s="6" t="s">
        <v>10</v>
      </c>
      <c r="C26" s="10">
        <v>46174</v>
      </c>
      <c r="D26" s="11" t="s">
        <v>73</v>
      </c>
      <c r="E26" s="5" t="s">
        <v>80</v>
      </c>
      <c r="F26" s="6" t="s">
        <v>77</v>
      </c>
      <c r="G26" s="6">
        <v>3</v>
      </c>
      <c r="H26" s="32">
        <v>46183</v>
      </c>
      <c r="I26" s="7">
        <f t="shared" si="1"/>
        <v>46183.125</v>
      </c>
      <c r="J26" s="8" t="s">
        <v>5</v>
      </c>
      <c r="K26" s="9"/>
    </row>
    <row r="27" spans="1:11" ht="25.5">
      <c r="A27" s="15">
        <f t="shared" si="0"/>
        <v>25</v>
      </c>
      <c r="B27" s="6" t="s">
        <v>10</v>
      </c>
      <c r="C27" s="10">
        <v>46174</v>
      </c>
      <c r="D27" s="11" t="s">
        <v>73</v>
      </c>
      <c r="E27" s="5" t="s">
        <v>81</v>
      </c>
      <c r="F27" s="6" t="s">
        <v>77</v>
      </c>
      <c r="G27" s="6">
        <v>1</v>
      </c>
      <c r="H27" s="32">
        <v>46183</v>
      </c>
      <c r="I27" s="7">
        <f t="shared" si="1"/>
        <v>46183.041666666664</v>
      </c>
      <c r="J27" s="8" t="s">
        <v>5</v>
      </c>
      <c r="K27" s="9"/>
    </row>
    <row r="28" spans="1:11" ht="25.5">
      <c r="A28" s="15">
        <f t="shared" si="0"/>
        <v>26</v>
      </c>
      <c r="B28" s="6" t="s">
        <v>10</v>
      </c>
      <c r="C28" s="10">
        <v>46174</v>
      </c>
      <c r="D28" s="11" t="s">
        <v>73</v>
      </c>
      <c r="E28" s="5" t="s">
        <v>82</v>
      </c>
      <c r="F28" s="6" t="s">
        <v>77</v>
      </c>
      <c r="G28" s="6">
        <v>1</v>
      </c>
      <c r="H28" s="32">
        <v>46184</v>
      </c>
      <c r="I28" s="7">
        <f t="shared" si="1"/>
        <v>46184.041666666664</v>
      </c>
      <c r="J28" s="8" t="s">
        <v>5</v>
      </c>
      <c r="K28" s="9"/>
    </row>
    <row r="29" spans="1:11" ht="25.5">
      <c r="A29" s="15">
        <f t="shared" si="0"/>
        <v>27</v>
      </c>
      <c r="B29" s="6" t="s">
        <v>10</v>
      </c>
      <c r="C29" s="10">
        <v>46174</v>
      </c>
      <c r="D29" s="11" t="s">
        <v>73</v>
      </c>
      <c r="E29" s="5" t="s">
        <v>83</v>
      </c>
      <c r="F29" s="6" t="s">
        <v>77</v>
      </c>
      <c r="G29" s="6">
        <v>2</v>
      </c>
      <c r="H29" s="32">
        <v>46189</v>
      </c>
      <c r="I29" s="7">
        <f t="shared" si="1"/>
        <v>46189.083333333336</v>
      </c>
      <c r="J29" s="8" t="s">
        <v>5</v>
      </c>
      <c r="K29" s="9"/>
    </row>
    <row r="30" spans="1:11" ht="25.5">
      <c r="A30" s="15">
        <f t="shared" si="0"/>
        <v>28</v>
      </c>
      <c r="B30" s="6" t="s">
        <v>10</v>
      </c>
      <c r="C30" s="10">
        <v>46174</v>
      </c>
      <c r="D30" s="11" t="s">
        <v>73</v>
      </c>
      <c r="E30" s="5" t="s">
        <v>84</v>
      </c>
      <c r="F30" s="6" t="s">
        <v>77</v>
      </c>
      <c r="G30" s="6">
        <v>1</v>
      </c>
      <c r="H30" s="32">
        <v>46189</v>
      </c>
      <c r="I30" s="7">
        <f t="shared" si="1"/>
        <v>46189.041666666664</v>
      </c>
      <c r="J30" s="8" t="s">
        <v>5</v>
      </c>
      <c r="K30" s="9"/>
    </row>
    <row r="31" spans="1:11" ht="25.5">
      <c r="A31" s="15">
        <f t="shared" si="0"/>
        <v>29</v>
      </c>
      <c r="B31" s="6" t="s">
        <v>10</v>
      </c>
      <c r="C31" s="10">
        <v>46174</v>
      </c>
      <c r="D31" s="11" t="s">
        <v>73</v>
      </c>
      <c r="E31" s="5" t="s">
        <v>85</v>
      </c>
      <c r="F31" s="6" t="s">
        <v>77</v>
      </c>
      <c r="G31" s="6">
        <v>1</v>
      </c>
      <c r="H31" s="32">
        <v>46189</v>
      </c>
      <c r="I31" s="7">
        <f t="shared" si="1"/>
        <v>46189.041666666664</v>
      </c>
      <c r="J31" s="8" t="s">
        <v>5</v>
      </c>
      <c r="K31" s="9"/>
    </row>
    <row r="32" spans="1:11" ht="25.5">
      <c r="A32" s="15">
        <f t="shared" si="0"/>
        <v>30</v>
      </c>
      <c r="B32" s="6" t="s">
        <v>10</v>
      </c>
      <c r="C32" s="10">
        <v>46174</v>
      </c>
      <c r="D32" s="11" t="s">
        <v>73</v>
      </c>
      <c r="E32" s="5" t="s">
        <v>86</v>
      </c>
      <c r="F32" s="6" t="s">
        <v>77</v>
      </c>
      <c r="G32" s="6">
        <v>4</v>
      </c>
      <c r="H32" s="32">
        <v>46202</v>
      </c>
      <c r="I32" s="7">
        <f t="shared" si="1"/>
        <v>46202.166666666664</v>
      </c>
      <c r="J32" s="8" t="s">
        <v>5</v>
      </c>
      <c r="K32" s="9"/>
    </row>
    <row r="33" spans="1:11" ht="25.5">
      <c r="A33" s="15">
        <f t="shared" si="0"/>
        <v>31</v>
      </c>
      <c r="B33" s="6" t="s">
        <v>10</v>
      </c>
      <c r="C33" s="10">
        <v>46174</v>
      </c>
      <c r="D33" s="11" t="s">
        <v>73</v>
      </c>
      <c r="E33" s="5" t="s">
        <v>87</v>
      </c>
      <c r="F33" s="6" t="s">
        <v>77</v>
      </c>
      <c r="G33" s="6">
        <v>2</v>
      </c>
      <c r="H33" s="32">
        <v>46202</v>
      </c>
      <c r="I33" s="7">
        <f t="shared" si="1"/>
        <v>46202.083333333336</v>
      </c>
      <c r="J33" s="8" t="s">
        <v>5</v>
      </c>
      <c r="K33" s="9"/>
    </row>
    <row r="34" spans="1:11" ht="25.5">
      <c r="A34" s="15">
        <f t="shared" si="0"/>
        <v>32</v>
      </c>
      <c r="B34" s="6" t="s">
        <v>10</v>
      </c>
      <c r="C34" s="10">
        <v>46174</v>
      </c>
      <c r="D34" s="11" t="s">
        <v>73</v>
      </c>
      <c r="E34" s="5" t="s">
        <v>88</v>
      </c>
      <c r="F34" s="6" t="s">
        <v>77</v>
      </c>
      <c r="G34" s="6">
        <v>4</v>
      </c>
      <c r="H34" s="32">
        <v>46203</v>
      </c>
      <c r="I34" s="7">
        <f t="shared" si="1"/>
        <v>46203.166666666664</v>
      </c>
      <c r="J34" s="8" t="s">
        <v>5</v>
      </c>
      <c r="K34" s="9"/>
    </row>
    <row r="35" spans="1:11" ht="25.5">
      <c r="A35" s="15">
        <f t="shared" si="0"/>
        <v>33</v>
      </c>
      <c r="B35" s="6" t="s">
        <v>10</v>
      </c>
      <c r="C35" s="10">
        <v>46174</v>
      </c>
      <c r="D35" s="11" t="s">
        <v>73</v>
      </c>
      <c r="E35" s="5" t="s">
        <v>89</v>
      </c>
      <c r="F35" s="6" t="s">
        <v>77</v>
      </c>
      <c r="G35" s="6">
        <v>3</v>
      </c>
      <c r="H35" s="32">
        <v>46203</v>
      </c>
      <c r="I35" s="7">
        <f t="shared" si="1"/>
        <v>46203.125</v>
      </c>
      <c r="J35" s="8" t="s">
        <v>5</v>
      </c>
      <c r="K35" s="9"/>
    </row>
    <row r="36" spans="1:11">
      <c r="A36" s="15">
        <f t="shared" si="0"/>
        <v>34</v>
      </c>
      <c r="B36" s="6" t="s">
        <v>10</v>
      </c>
      <c r="C36" s="10">
        <v>46174</v>
      </c>
      <c r="D36" s="11" t="s">
        <v>73</v>
      </c>
      <c r="E36" s="5" t="s">
        <v>90</v>
      </c>
      <c r="F36" s="6" t="s">
        <v>91</v>
      </c>
      <c r="G36" s="6">
        <v>6</v>
      </c>
      <c r="H36" s="32">
        <v>46203</v>
      </c>
      <c r="I36" s="7">
        <f t="shared" si="1"/>
        <v>46203.25</v>
      </c>
      <c r="J36" s="8" t="s">
        <v>5</v>
      </c>
      <c r="K36" s="9"/>
    </row>
    <row r="37" spans="1:11">
      <c r="A37" s="15">
        <f t="shared" si="0"/>
        <v>35</v>
      </c>
      <c r="B37" s="6" t="s">
        <v>10</v>
      </c>
      <c r="C37" s="10">
        <v>46204</v>
      </c>
      <c r="D37" s="11" t="s">
        <v>73</v>
      </c>
      <c r="E37" s="5" t="s">
        <v>92</v>
      </c>
      <c r="F37" s="6" t="s">
        <v>51</v>
      </c>
      <c r="G37" s="6">
        <v>-40</v>
      </c>
      <c r="H37" s="32">
        <v>46204</v>
      </c>
      <c r="I37" s="7">
        <v>46234</v>
      </c>
      <c r="J37" s="8" t="s">
        <v>5</v>
      </c>
      <c r="K37" s="9"/>
    </row>
    <row r="38" spans="1:11">
      <c r="A38" s="15">
        <f t="shared" si="0"/>
        <v>36</v>
      </c>
      <c r="B38" s="6" t="s">
        <v>10</v>
      </c>
      <c r="C38" s="10">
        <v>46204</v>
      </c>
      <c r="D38" s="11" t="s">
        <v>73</v>
      </c>
      <c r="E38" s="5" t="s">
        <v>75</v>
      </c>
      <c r="F38" s="6" t="s">
        <v>51</v>
      </c>
      <c r="G38" s="6">
        <v>-40</v>
      </c>
      <c r="H38" s="32">
        <v>46204</v>
      </c>
      <c r="I38" s="7">
        <v>46234</v>
      </c>
      <c r="J38" s="8" t="s">
        <v>5</v>
      </c>
      <c r="K38" s="9"/>
    </row>
    <row r="39" spans="1:11" ht="76.5">
      <c r="A39" s="15">
        <f t="shared" si="0"/>
        <v>37</v>
      </c>
      <c r="B39" s="6" t="s">
        <v>10</v>
      </c>
      <c r="C39" s="10">
        <v>46204</v>
      </c>
      <c r="D39" s="11" t="s">
        <v>73</v>
      </c>
      <c r="E39" s="5" t="s">
        <v>93</v>
      </c>
      <c r="F39" s="6" t="s">
        <v>51</v>
      </c>
      <c r="G39" s="6"/>
      <c r="H39" s="32">
        <v>46204</v>
      </c>
      <c r="I39" s="7">
        <f t="shared" ref="I39" si="2">G39/24+H39</f>
        <v>46204</v>
      </c>
      <c r="J39" s="8" t="s">
        <v>5</v>
      </c>
      <c r="K39" s="9"/>
    </row>
    <row r="40" spans="1:11" ht="25.5">
      <c r="A40" s="15">
        <f t="shared" si="0"/>
        <v>38</v>
      </c>
      <c r="B40" s="6" t="s">
        <v>11</v>
      </c>
      <c r="C40" s="10">
        <v>46235</v>
      </c>
      <c r="D40" s="11" t="s">
        <v>73</v>
      </c>
      <c r="E40" s="5" t="s">
        <v>94</v>
      </c>
      <c r="F40" s="6" t="s">
        <v>77</v>
      </c>
      <c r="G40" s="6"/>
      <c r="H40" s="32">
        <v>46174</v>
      </c>
      <c r="I40" s="7"/>
      <c r="J40" s="8" t="s">
        <v>4</v>
      </c>
      <c r="K40" s="9"/>
    </row>
    <row r="41" spans="1:11" ht="25.5">
      <c r="A41" s="15">
        <f t="shared" si="0"/>
        <v>39</v>
      </c>
      <c r="B41" s="6" t="s">
        <v>11</v>
      </c>
      <c r="C41" s="10">
        <v>46235</v>
      </c>
      <c r="D41" s="11" t="s">
        <v>73</v>
      </c>
      <c r="E41" s="5" t="s">
        <v>95</v>
      </c>
      <c r="F41" s="6" t="s">
        <v>77</v>
      </c>
      <c r="G41" s="6"/>
      <c r="H41" s="32">
        <v>46174</v>
      </c>
      <c r="I41" s="7"/>
      <c r="J41" s="8" t="s">
        <v>4</v>
      </c>
      <c r="K41" s="9"/>
    </row>
    <row r="42" spans="1:11" ht="25.5">
      <c r="A42" s="15">
        <f t="shared" si="0"/>
        <v>40</v>
      </c>
      <c r="B42" s="6" t="s">
        <v>10</v>
      </c>
      <c r="C42" s="10">
        <v>46204</v>
      </c>
      <c r="D42" s="11" t="s">
        <v>73</v>
      </c>
      <c r="E42" s="5" t="s">
        <v>96</v>
      </c>
      <c r="F42" s="6" t="s">
        <v>77</v>
      </c>
      <c r="G42" s="6">
        <v>0</v>
      </c>
      <c r="H42" s="32">
        <v>46204</v>
      </c>
      <c r="I42" s="7">
        <v>46204</v>
      </c>
      <c r="J42" s="8" t="s">
        <v>5</v>
      </c>
      <c r="K42" s="9"/>
    </row>
    <row r="43" spans="1:11" ht="25.5">
      <c r="A43" s="15">
        <f t="shared" si="0"/>
        <v>41</v>
      </c>
      <c r="B43" s="6" t="s">
        <v>11</v>
      </c>
      <c r="C43" s="10">
        <v>46235</v>
      </c>
      <c r="D43" s="11" t="s">
        <v>97</v>
      </c>
      <c r="E43" s="5" t="s">
        <v>98</v>
      </c>
      <c r="F43" s="6" t="s">
        <v>77</v>
      </c>
      <c r="G43" s="6"/>
      <c r="H43" s="32">
        <v>46174</v>
      </c>
      <c r="I43" s="7"/>
      <c r="J43" s="8" t="s">
        <v>4</v>
      </c>
      <c r="K43" s="9"/>
    </row>
    <row r="44" spans="1:11" ht="25.5">
      <c r="A44" s="15">
        <f t="shared" si="0"/>
        <v>42</v>
      </c>
      <c r="B44" s="6" t="s">
        <v>11</v>
      </c>
      <c r="C44" s="10">
        <v>46235</v>
      </c>
      <c r="D44" s="11" t="s">
        <v>97</v>
      </c>
      <c r="E44" s="5" t="s">
        <v>99</v>
      </c>
      <c r="F44" s="6" t="s">
        <v>77</v>
      </c>
      <c r="G44" s="6"/>
      <c r="H44" s="32">
        <v>46174</v>
      </c>
      <c r="I44" s="7"/>
      <c r="J44" s="8" t="s">
        <v>4</v>
      </c>
      <c r="K44" s="9"/>
    </row>
    <row r="45" spans="1:11" ht="25.5">
      <c r="A45" s="15">
        <f t="shared" si="0"/>
        <v>43</v>
      </c>
      <c r="B45" s="6" t="s">
        <v>11</v>
      </c>
      <c r="C45" s="10">
        <v>46235</v>
      </c>
      <c r="D45" s="11" t="s">
        <v>97</v>
      </c>
      <c r="E45" s="5" t="s">
        <v>100</v>
      </c>
      <c r="F45" s="6" t="s">
        <v>77</v>
      </c>
      <c r="G45" s="6"/>
      <c r="H45" s="32">
        <v>46174</v>
      </c>
      <c r="I45" s="7"/>
      <c r="J45" s="8" t="s">
        <v>4</v>
      </c>
      <c r="K45" s="9"/>
    </row>
    <row r="46" spans="1:11" ht="25.5">
      <c r="A46" s="15">
        <f t="shared" si="0"/>
        <v>44</v>
      </c>
      <c r="B46" s="6" t="s">
        <v>11</v>
      </c>
      <c r="C46" s="10">
        <v>46235</v>
      </c>
      <c r="D46" s="11" t="s">
        <v>101</v>
      </c>
      <c r="E46" s="5" t="s">
        <v>102</v>
      </c>
      <c r="F46" s="6" t="s">
        <v>77</v>
      </c>
      <c r="G46" s="6"/>
      <c r="H46" s="32">
        <v>46174</v>
      </c>
      <c r="I46" s="7"/>
      <c r="J46" s="8" t="s">
        <v>6</v>
      </c>
      <c r="K46" s="9"/>
    </row>
    <row r="47" spans="1:11" ht="25.5">
      <c r="A47" s="15">
        <f t="shared" si="0"/>
        <v>45</v>
      </c>
      <c r="B47" s="6" t="s">
        <v>11</v>
      </c>
      <c r="C47" s="10">
        <v>46235</v>
      </c>
      <c r="D47" s="11" t="s">
        <v>97</v>
      </c>
      <c r="E47" s="5" t="s">
        <v>103</v>
      </c>
      <c r="F47" s="6" t="s">
        <v>77</v>
      </c>
      <c r="G47" s="6"/>
      <c r="H47" s="32">
        <v>46174</v>
      </c>
      <c r="I47" s="7"/>
      <c r="J47" s="8" t="s">
        <v>6</v>
      </c>
      <c r="K47" s="9"/>
    </row>
    <row r="48" spans="1:11" ht="25.5">
      <c r="A48" s="15">
        <f t="shared" si="0"/>
        <v>46</v>
      </c>
      <c r="B48" s="6" t="s">
        <v>11</v>
      </c>
      <c r="C48" s="10">
        <v>46235</v>
      </c>
      <c r="D48" s="11" t="s">
        <v>97</v>
      </c>
      <c r="E48" s="5" t="s">
        <v>104</v>
      </c>
      <c r="F48" s="6" t="s">
        <v>77</v>
      </c>
      <c r="G48" s="6"/>
      <c r="H48" s="32">
        <v>46174</v>
      </c>
      <c r="I48" s="7"/>
      <c r="J48" s="8" t="s">
        <v>6</v>
      </c>
      <c r="K48" s="9"/>
    </row>
    <row r="49" spans="1:11" ht="25.5">
      <c r="A49" s="15">
        <f t="shared" si="0"/>
        <v>47</v>
      </c>
      <c r="B49" s="6" t="s">
        <v>11</v>
      </c>
      <c r="C49" s="10">
        <v>46235</v>
      </c>
      <c r="D49" s="11" t="s">
        <v>105</v>
      </c>
      <c r="E49" s="5" t="s">
        <v>106</v>
      </c>
      <c r="F49" s="6" t="s">
        <v>77</v>
      </c>
      <c r="G49" s="6"/>
      <c r="H49" s="32">
        <v>46174</v>
      </c>
      <c r="I49" s="7"/>
      <c r="J49" s="8" t="s">
        <v>6</v>
      </c>
      <c r="K49" s="9"/>
    </row>
    <row r="50" spans="1:11" ht="25.5">
      <c r="A50" s="15">
        <f t="shared" si="0"/>
        <v>48</v>
      </c>
      <c r="B50" s="6" t="s">
        <v>11</v>
      </c>
      <c r="C50" s="10">
        <v>46235</v>
      </c>
      <c r="D50" s="11" t="s">
        <v>107</v>
      </c>
      <c r="E50" s="5" t="s">
        <v>108</v>
      </c>
      <c r="F50" s="6" t="s">
        <v>77</v>
      </c>
      <c r="G50" s="6"/>
      <c r="H50" s="32">
        <v>46174</v>
      </c>
      <c r="I50" s="7"/>
      <c r="J50" s="8" t="s">
        <v>6</v>
      </c>
      <c r="K50" s="9"/>
    </row>
    <row r="51" spans="1:11" ht="25.5">
      <c r="A51" s="15">
        <f t="shared" si="0"/>
        <v>49</v>
      </c>
      <c r="B51" s="6" t="s">
        <v>11</v>
      </c>
      <c r="C51" s="10">
        <v>46235</v>
      </c>
      <c r="D51" s="11" t="s">
        <v>105</v>
      </c>
      <c r="E51" s="5" t="s">
        <v>109</v>
      </c>
      <c r="F51" s="6" t="s">
        <v>77</v>
      </c>
      <c r="G51" s="6"/>
      <c r="H51" s="32">
        <v>46174</v>
      </c>
      <c r="I51" s="7"/>
      <c r="J51" s="8" t="s">
        <v>6</v>
      </c>
      <c r="K51" s="9"/>
    </row>
    <row r="52" spans="1:11" ht="25.5">
      <c r="A52" s="15">
        <f t="shared" si="0"/>
        <v>50</v>
      </c>
      <c r="B52" s="6" t="s">
        <v>11</v>
      </c>
      <c r="C52" s="10">
        <v>46235</v>
      </c>
      <c r="D52" s="11" t="s">
        <v>107</v>
      </c>
      <c r="E52" s="5" t="s">
        <v>110</v>
      </c>
      <c r="F52" s="6" t="s">
        <v>77</v>
      </c>
      <c r="G52" s="6"/>
      <c r="H52" s="32">
        <v>46174</v>
      </c>
      <c r="I52" s="7"/>
      <c r="J52" s="8" t="s">
        <v>6</v>
      </c>
      <c r="K52" s="9"/>
    </row>
    <row r="53" spans="1:11" ht="25.5">
      <c r="A53" s="15">
        <f t="shared" si="0"/>
        <v>51</v>
      </c>
      <c r="B53" s="6" t="s">
        <v>11</v>
      </c>
      <c r="C53" s="10">
        <v>46235</v>
      </c>
      <c r="D53" s="11" t="s">
        <v>111</v>
      </c>
      <c r="E53" s="5" t="s">
        <v>112</v>
      </c>
      <c r="F53" s="6" t="s">
        <v>77</v>
      </c>
      <c r="G53" s="6"/>
      <c r="H53" s="32">
        <v>46174</v>
      </c>
      <c r="I53" s="7"/>
      <c r="J53" s="8" t="s">
        <v>6</v>
      </c>
      <c r="K53" s="9"/>
    </row>
    <row r="54" spans="1:11" ht="25.5">
      <c r="A54" s="15">
        <f t="shared" si="0"/>
        <v>52</v>
      </c>
      <c r="B54" s="6" t="s">
        <v>11</v>
      </c>
      <c r="C54" s="10">
        <v>46235</v>
      </c>
      <c r="D54" s="11" t="s">
        <v>107</v>
      </c>
      <c r="E54" s="5" t="s">
        <v>113</v>
      </c>
      <c r="F54" s="6" t="s">
        <v>77</v>
      </c>
      <c r="G54" s="6"/>
      <c r="H54" s="32">
        <v>46174</v>
      </c>
      <c r="I54" s="7"/>
      <c r="J54" s="8" t="s">
        <v>6</v>
      </c>
      <c r="K54" s="9"/>
    </row>
    <row r="55" spans="1:11" ht="25.5">
      <c r="A55" s="15">
        <f t="shared" si="0"/>
        <v>53</v>
      </c>
      <c r="B55" s="6" t="s">
        <v>11</v>
      </c>
      <c r="C55" s="10">
        <v>46235</v>
      </c>
      <c r="D55" s="11" t="s">
        <v>73</v>
      </c>
      <c r="E55" s="5" t="s">
        <v>114</v>
      </c>
      <c r="F55" s="6" t="s">
        <v>77</v>
      </c>
      <c r="G55" s="6"/>
      <c r="H55" s="32">
        <v>46174</v>
      </c>
      <c r="I55" s="7"/>
      <c r="J55" s="8" t="s">
        <v>6</v>
      </c>
      <c r="K55" s="9"/>
    </row>
    <row r="56" spans="1:11" ht="25.5">
      <c r="A56" s="15">
        <f t="shared" si="0"/>
        <v>54</v>
      </c>
      <c r="B56" s="6" t="s">
        <v>11</v>
      </c>
      <c r="C56" s="10">
        <v>46235</v>
      </c>
      <c r="D56" s="11" t="s">
        <v>107</v>
      </c>
      <c r="E56" s="5" t="s">
        <v>115</v>
      </c>
      <c r="F56" s="6" t="s">
        <v>77</v>
      </c>
      <c r="G56" s="6"/>
      <c r="H56" s="32">
        <v>46174</v>
      </c>
      <c r="I56" s="7"/>
      <c r="J56" s="8" t="s">
        <v>6</v>
      </c>
      <c r="K56" s="9"/>
    </row>
    <row r="57" spans="1:11" ht="25.5">
      <c r="A57" s="15">
        <f t="shared" si="0"/>
        <v>55</v>
      </c>
      <c r="B57" s="6" t="s">
        <v>11</v>
      </c>
      <c r="C57" s="10">
        <v>46235</v>
      </c>
      <c r="D57" s="11" t="s">
        <v>116</v>
      </c>
      <c r="E57" s="5" t="s">
        <v>117</v>
      </c>
      <c r="F57" s="6" t="s">
        <v>77</v>
      </c>
      <c r="G57" s="6"/>
      <c r="H57" s="32">
        <v>46174</v>
      </c>
      <c r="I57" s="7"/>
      <c r="J57" s="8" t="s">
        <v>4</v>
      </c>
      <c r="K57" s="9"/>
    </row>
    <row r="58" spans="1:11" ht="25.5">
      <c r="A58" s="15">
        <f t="shared" si="0"/>
        <v>56</v>
      </c>
      <c r="B58" s="6" t="s">
        <v>11</v>
      </c>
      <c r="C58" s="10">
        <v>46235</v>
      </c>
      <c r="D58" s="11" t="s">
        <v>97</v>
      </c>
      <c r="E58" s="5" t="s">
        <v>118</v>
      </c>
      <c r="F58" s="6" t="s">
        <v>77</v>
      </c>
      <c r="G58" s="6"/>
      <c r="H58" s="32">
        <v>46174</v>
      </c>
      <c r="I58" s="7"/>
      <c r="J58" s="8" t="s">
        <v>6</v>
      </c>
      <c r="K58" s="9"/>
    </row>
    <row r="59" spans="1:11" ht="25.5">
      <c r="A59" s="15">
        <f t="shared" si="0"/>
        <v>57</v>
      </c>
      <c r="B59" s="6" t="s">
        <v>11</v>
      </c>
      <c r="C59" s="10">
        <v>46235</v>
      </c>
      <c r="D59" s="11" t="s">
        <v>119</v>
      </c>
      <c r="E59" s="5" t="s">
        <v>120</v>
      </c>
      <c r="F59" s="6" t="s">
        <v>77</v>
      </c>
      <c r="G59" s="6"/>
      <c r="H59" s="32">
        <v>46174</v>
      </c>
      <c r="I59" s="7"/>
      <c r="J59" s="8" t="s">
        <v>6</v>
      </c>
      <c r="K59" s="9"/>
    </row>
    <row r="60" spans="1:11" ht="25.5">
      <c r="A60" s="15">
        <f t="shared" si="0"/>
        <v>58</v>
      </c>
      <c r="B60" s="6" t="s">
        <v>11</v>
      </c>
      <c r="C60" s="10">
        <v>46235</v>
      </c>
      <c r="D60" s="11" t="s">
        <v>121</v>
      </c>
      <c r="E60" s="5" t="s">
        <v>122</v>
      </c>
      <c r="F60" s="6" t="s">
        <v>77</v>
      </c>
      <c r="G60" s="6"/>
      <c r="H60" s="32">
        <v>46174</v>
      </c>
      <c r="I60" s="7"/>
      <c r="J60" s="8" t="s">
        <v>6</v>
      </c>
      <c r="K60" s="9"/>
    </row>
    <row r="61" spans="1:11" ht="25.5">
      <c r="A61" s="15">
        <f t="shared" si="0"/>
        <v>59</v>
      </c>
      <c r="B61" s="6" t="s">
        <v>11</v>
      </c>
      <c r="C61" s="10">
        <v>46235</v>
      </c>
      <c r="D61" s="11" t="s">
        <v>107</v>
      </c>
      <c r="E61" s="5" t="s">
        <v>123</v>
      </c>
      <c r="F61" s="6" t="s">
        <v>77</v>
      </c>
      <c r="G61" s="6"/>
      <c r="H61" s="32">
        <v>46174</v>
      </c>
      <c r="I61" s="7"/>
      <c r="J61" s="8" t="s">
        <v>6</v>
      </c>
      <c r="K61" s="9"/>
    </row>
    <row r="62" spans="1:11" ht="25.5">
      <c r="A62" s="15">
        <f t="shared" si="0"/>
        <v>60</v>
      </c>
      <c r="B62" s="6" t="s">
        <v>11</v>
      </c>
      <c r="C62" s="10">
        <v>46235</v>
      </c>
      <c r="D62" s="11" t="s">
        <v>124</v>
      </c>
      <c r="E62" s="5" t="s">
        <v>125</v>
      </c>
      <c r="F62" s="6" t="s">
        <v>91</v>
      </c>
      <c r="G62" s="6"/>
      <c r="H62" s="32">
        <v>46174</v>
      </c>
      <c r="I62" s="7"/>
      <c r="J62" s="8" t="s">
        <v>6</v>
      </c>
      <c r="K62" s="9"/>
    </row>
    <row r="63" spans="1:11">
      <c r="A63" s="15">
        <f t="shared" si="0"/>
        <v>61</v>
      </c>
      <c r="B63" s="6" t="s">
        <v>11</v>
      </c>
      <c r="C63" s="10">
        <v>46235</v>
      </c>
      <c r="D63" s="11" t="s">
        <v>124</v>
      </c>
      <c r="E63" s="5" t="s">
        <v>126</v>
      </c>
      <c r="F63" s="6" t="s">
        <v>91</v>
      </c>
      <c r="G63" s="6"/>
      <c r="H63" s="32">
        <v>46174</v>
      </c>
      <c r="I63" s="7"/>
      <c r="J63" s="8" t="s">
        <v>6</v>
      </c>
      <c r="K63" s="9"/>
    </row>
    <row r="64" spans="1:11" ht="25.5">
      <c r="A64" s="15">
        <f t="shared" si="0"/>
        <v>62</v>
      </c>
      <c r="B64" s="6" t="s">
        <v>11</v>
      </c>
      <c r="C64" s="10">
        <v>46235</v>
      </c>
      <c r="D64" s="11" t="s">
        <v>127</v>
      </c>
      <c r="E64" s="5" t="s">
        <v>128</v>
      </c>
      <c r="F64" s="6" t="s">
        <v>77</v>
      </c>
      <c r="G64" s="6"/>
      <c r="H64" s="32">
        <v>46174</v>
      </c>
      <c r="I64" s="7"/>
      <c r="J64" s="8" t="s">
        <v>6</v>
      </c>
      <c r="K64" s="9"/>
    </row>
    <row r="65" spans="1:11" ht="25.5">
      <c r="A65" s="15">
        <f t="shared" si="0"/>
        <v>63</v>
      </c>
      <c r="B65" s="6" t="s">
        <v>11</v>
      </c>
      <c r="C65" s="10">
        <v>46235</v>
      </c>
      <c r="D65" s="11" t="s">
        <v>129</v>
      </c>
      <c r="E65" s="5" t="s">
        <v>130</v>
      </c>
      <c r="F65" s="6" t="s">
        <v>77</v>
      </c>
      <c r="G65" s="6"/>
      <c r="H65" s="32">
        <v>46174</v>
      </c>
      <c r="I65" s="7"/>
      <c r="J65" s="8" t="s">
        <v>6</v>
      </c>
      <c r="K65" s="9"/>
    </row>
    <row r="66" spans="1:11" ht="25.5">
      <c r="A66" s="15">
        <f t="shared" si="0"/>
        <v>64</v>
      </c>
      <c r="B66" s="6" t="s">
        <v>11</v>
      </c>
      <c r="C66" s="10">
        <v>46235</v>
      </c>
      <c r="D66" s="11" t="s">
        <v>121</v>
      </c>
      <c r="E66" s="5" t="s">
        <v>131</v>
      </c>
      <c r="F66" s="6" t="s">
        <v>77</v>
      </c>
      <c r="G66" s="6"/>
      <c r="H66" s="32">
        <v>46174</v>
      </c>
      <c r="I66" s="7"/>
      <c r="J66" s="8" t="s">
        <v>6</v>
      </c>
      <c r="K66" s="9"/>
    </row>
    <row r="67" spans="1:11" ht="25.5">
      <c r="A67" s="15">
        <f t="shared" si="0"/>
        <v>65</v>
      </c>
      <c r="B67" s="6" t="s">
        <v>11</v>
      </c>
      <c r="C67" s="10">
        <v>46235</v>
      </c>
      <c r="D67" s="11" t="s">
        <v>107</v>
      </c>
      <c r="E67" s="5" t="s">
        <v>132</v>
      </c>
      <c r="F67" s="6" t="s">
        <v>77</v>
      </c>
      <c r="G67" s="6"/>
      <c r="H67" s="32">
        <v>46174</v>
      </c>
      <c r="I67" s="7"/>
      <c r="J67" s="8" t="s">
        <v>133</v>
      </c>
      <c r="K67" s="9"/>
    </row>
    <row r="68" spans="1:11" ht="25.5">
      <c r="A68" s="15">
        <f t="shared" si="0"/>
        <v>66</v>
      </c>
      <c r="B68" s="6" t="s">
        <v>11</v>
      </c>
      <c r="C68" s="10">
        <v>46235</v>
      </c>
      <c r="D68" s="11" t="s">
        <v>73</v>
      </c>
      <c r="E68" s="5" t="s">
        <v>134</v>
      </c>
      <c r="F68" s="6" t="s">
        <v>77</v>
      </c>
      <c r="G68" s="6"/>
      <c r="H68" s="32">
        <v>46174</v>
      </c>
      <c r="I68" s="7"/>
      <c r="J68" s="8" t="s">
        <v>6</v>
      </c>
      <c r="K68" s="9"/>
    </row>
    <row r="69" spans="1:11" ht="25.5">
      <c r="A69" s="15">
        <f t="shared" ref="A69:A132" si="3">A68+1</f>
        <v>67</v>
      </c>
      <c r="B69" s="6" t="s">
        <v>11</v>
      </c>
      <c r="C69" s="10">
        <v>46235</v>
      </c>
      <c r="D69" s="11" t="s">
        <v>97</v>
      </c>
      <c r="E69" s="5" t="s">
        <v>135</v>
      </c>
      <c r="F69" s="6" t="s">
        <v>77</v>
      </c>
      <c r="G69" s="6"/>
      <c r="H69" s="32">
        <v>46174</v>
      </c>
      <c r="I69" s="7"/>
      <c r="J69" s="8" t="s">
        <v>6</v>
      </c>
      <c r="K69" s="9"/>
    </row>
    <row r="70" spans="1:11" ht="25.5">
      <c r="A70" s="15">
        <f t="shared" si="3"/>
        <v>68</v>
      </c>
      <c r="B70" s="6" t="s">
        <v>11</v>
      </c>
      <c r="C70" s="10">
        <v>46235</v>
      </c>
      <c r="D70" s="11" t="s">
        <v>107</v>
      </c>
      <c r="E70" s="5" t="s">
        <v>136</v>
      </c>
      <c r="F70" s="6" t="s">
        <v>77</v>
      </c>
      <c r="G70" s="6"/>
      <c r="H70" s="32">
        <v>46174</v>
      </c>
      <c r="I70" s="7"/>
      <c r="J70" s="8" t="s">
        <v>6</v>
      </c>
      <c r="K70" s="9"/>
    </row>
    <row r="71" spans="1:11" ht="25.5">
      <c r="A71" s="15">
        <f t="shared" si="3"/>
        <v>69</v>
      </c>
      <c r="B71" s="6" t="s">
        <v>11</v>
      </c>
      <c r="C71" s="10">
        <v>46235</v>
      </c>
      <c r="D71" s="11" t="s">
        <v>124</v>
      </c>
      <c r="E71" s="5" t="s">
        <v>137</v>
      </c>
      <c r="F71" s="6" t="s">
        <v>91</v>
      </c>
      <c r="G71" s="6"/>
      <c r="H71" s="32">
        <v>45413</v>
      </c>
      <c r="I71" s="7"/>
      <c r="J71" s="8" t="s">
        <v>6</v>
      </c>
      <c r="K71" s="9"/>
    </row>
    <row r="72" spans="1:11" ht="25.5">
      <c r="A72" s="15">
        <f t="shared" si="3"/>
        <v>70</v>
      </c>
      <c r="B72" s="6" t="s">
        <v>11</v>
      </c>
      <c r="C72" s="10">
        <v>46235</v>
      </c>
      <c r="D72" s="11" t="s">
        <v>129</v>
      </c>
      <c r="E72" s="5" t="s">
        <v>138</v>
      </c>
      <c r="F72" s="6" t="s">
        <v>77</v>
      </c>
      <c r="G72" s="6"/>
      <c r="H72" s="32">
        <v>44562</v>
      </c>
      <c r="I72" s="7"/>
      <c r="J72" s="8" t="s">
        <v>6</v>
      </c>
      <c r="K72" s="9"/>
    </row>
    <row r="73" spans="1:11">
      <c r="A73" s="15">
        <f t="shared" si="3"/>
        <v>71</v>
      </c>
      <c r="B73" s="6" t="s">
        <v>16</v>
      </c>
      <c r="C73" s="10">
        <v>46204</v>
      </c>
      <c r="D73" s="11" t="s">
        <v>139</v>
      </c>
      <c r="E73" s="5" t="s">
        <v>140</v>
      </c>
      <c r="F73" s="6" t="s">
        <v>51</v>
      </c>
      <c r="G73" s="6"/>
      <c r="H73" s="32">
        <v>46023</v>
      </c>
      <c r="I73" s="7">
        <v>46023</v>
      </c>
      <c r="J73" s="8" t="s">
        <v>5</v>
      </c>
      <c r="K73" s="9"/>
    </row>
    <row r="74" spans="1:11">
      <c r="A74" s="15">
        <f t="shared" si="3"/>
        <v>72</v>
      </c>
      <c r="B74" s="6" t="s">
        <v>16</v>
      </c>
      <c r="C74" s="10">
        <v>46204</v>
      </c>
      <c r="D74" s="11" t="s">
        <v>139</v>
      </c>
      <c r="E74" s="5" t="s">
        <v>141</v>
      </c>
      <c r="F74" s="6" t="s">
        <v>51</v>
      </c>
      <c r="G74" s="6"/>
      <c r="H74" s="32">
        <v>46023</v>
      </c>
      <c r="I74" s="7">
        <v>46023</v>
      </c>
      <c r="J74" s="8" t="s">
        <v>5</v>
      </c>
      <c r="K74" s="9"/>
    </row>
    <row r="75" spans="1:11">
      <c r="A75" s="15">
        <f t="shared" si="3"/>
        <v>73</v>
      </c>
      <c r="B75" s="6" t="s">
        <v>16</v>
      </c>
      <c r="C75" s="10">
        <v>46204</v>
      </c>
      <c r="D75" s="11" t="s">
        <v>142</v>
      </c>
      <c r="E75" s="5" t="s">
        <v>143</v>
      </c>
      <c r="F75" s="6" t="s">
        <v>144</v>
      </c>
      <c r="G75" s="6"/>
      <c r="H75" s="32">
        <v>46023</v>
      </c>
      <c r="I75" s="7">
        <v>46084</v>
      </c>
      <c r="J75" s="8" t="s">
        <v>5</v>
      </c>
      <c r="K75" s="9"/>
    </row>
    <row r="76" spans="1:11" ht="25.5">
      <c r="A76" s="15">
        <f t="shared" si="3"/>
        <v>74</v>
      </c>
      <c r="B76" s="6" t="s">
        <v>16</v>
      </c>
      <c r="C76" s="10">
        <v>46204</v>
      </c>
      <c r="D76" s="11" t="s">
        <v>142</v>
      </c>
      <c r="E76" s="5" t="s">
        <v>145</v>
      </c>
      <c r="F76" s="6" t="s">
        <v>144</v>
      </c>
      <c r="G76" s="6"/>
      <c r="H76" s="32">
        <v>46023</v>
      </c>
      <c r="I76" s="7">
        <v>46084</v>
      </c>
      <c r="J76" s="8" t="s">
        <v>5</v>
      </c>
      <c r="K76" s="9"/>
    </row>
    <row r="77" spans="1:11">
      <c r="A77" s="15">
        <f t="shared" si="3"/>
        <v>75</v>
      </c>
      <c r="B77" s="6" t="s">
        <v>16</v>
      </c>
      <c r="C77" s="10">
        <v>46204</v>
      </c>
      <c r="D77" s="11" t="s">
        <v>142</v>
      </c>
      <c r="E77" s="5" t="s">
        <v>146</v>
      </c>
      <c r="F77" s="6" t="s">
        <v>144</v>
      </c>
      <c r="G77" s="6"/>
      <c r="H77" s="32">
        <v>46023</v>
      </c>
      <c r="I77" s="7">
        <v>46084</v>
      </c>
      <c r="J77" s="8" t="s">
        <v>5</v>
      </c>
      <c r="K77" s="9"/>
    </row>
    <row r="78" spans="1:11">
      <c r="A78" s="15">
        <f t="shared" si="3"/>
        <v>76</v>
      </c>
      <c r="B78" s="6" t="s">
        <v>16</v>
      </c>
      <c r="C78" s="10">
        <v>46204</v>
      </c>
      <c r="D78" s="11" t="s">
        <v>142</v>
      </c>
      <c r="E78" s="5" t="s">
        <v>147</v>
      </c>
      <c r="F78" s="6" t="s">
        <v>144</v>
      </c>
      <c r="G78" s="6"/>
      <c r="H78" s="32">
        <v>46023</v>
      </c>
      <c r="I78" s="7">
        <v>46084</v>
      </c>
      <c r="J78" s="8" t="s">
        <v>5</v>
      </c>
      <c r="K78" s="9"/>
    </row>
    <row r="79" spans="1:11" ht="25.5">
      <c r="A79" s="15">
        <f t="shared" si="3"/>
        <v>77</v>
      </c>
      <c r="B79" s="6" t="s">
        <v>16</v>
      </c>
      <c r="C79" s="10">
        <v>46204</v>
      </c>
      <c r="D79" s="11" t="s">
        <v>148</v>
      </c>
      <c r="E79" s="5" t="s">
        <v>149</v>
      </c>
      <c r="F79" s="6" t="s">
        <v>150</v>
      </c>
      <c r="G79" s="6"/>
      <c r="H79" s="32">
        <v>46084</v>
      </c>
      <c r="I79" s="7">
        <v>46113</v>
      </c>
      <c r="J79" s="8" t="s">
        <v>5</v>
      </c>
      <c r="K79" s="9"/>
    </row>
    <row r="80" spans="1:11" ht="25.5">
      <c r="A80" s="15">
        <f t="shared" si="3"/>
        <v>78</v>
      </c>
      <c r="B80" s="6" t="s">
        <v>16</v>
      </c>
      <c r="C80" s="10">
        <v>46204</v>
      </c>
      <c r="D80" s="11" t="s">
        <v>24</v>
      </c>
      <c r="E80" s="5" t="s">
        <v>151</v>
      </c>
      <c r="F80" s="6" t="s">
        <v>51</v>
      </c>
      <c r="G80" s="6"/>
      <c r="H80" s="32">
        <v>46210</v>
      </c>
      <c r="I80" s="7">
        <v>46210</v>
      </c>
      <c r="J80" s="8" t="s">
        <v>5</v>
      </c>
      <c r="K80" s="9"/>
    </row>
    <row r="81" spans="1:11" ht="25.5">
      <c r="A81" s="15">
        <f t="shared" si="3"/>
        <v>79</v>
      </c>
      <c r="B81" s="6" t="s">
        <v>16</v>
      </c>
      <c r="C81" s="10">
        <v>46204</v>
      </c>
      <c r="D81" s="11" t="s">
        <v>139</v>
      </c>
      <c r="E81" s="5" t="s">
        <v>152</v>
      </c>
      <c r="F81" s="6" t="s">
        <v>153</v>
      </c>
      <c r="G81" s="6"/>
      <c r="H81" s="32">
        <v>46213</v>
      </c>
      <c r="I81" s="7"/>
      <c r="J81" s="8" t="s">
        <v>4</v>
      </c>
      <c r="K81" s="9"/>
    </row>
    <row r="82" spans="1:11">
      <c r="A82" s="15">
        <f t="shared" si="3"/>
        <v>80</v>
      </c>
      <c r="B82" s="6" t="s">
        <v>16</v>
      </c>
      <c r="C82" s="10">
        <v>46204</v>
      </c>
      <c r="D82" s="11" t="s">
        <v>24</v>
      </c>
      <c r="E82" s="5" t="s">
        <v>154</v>
      </c>
      <c r="F82" s="6" t="s">
        <v>51</v>
      </c>
      <c r="G82" s="6"/>
      <c r="H82" s="32">
        <v>46213</v>
      </c>
      <c r="I82" s="7"/>
      <c r="J82" s="8" t="s">
        <v>4</v>
      </c>
      <c r="K82" s="9"/>
    </row>
    <row r="83" spans="1:11">
      <c r="A83" s="15">
        <f t="shared" si="3"/>
        <v>81</v>
      </c>
      <c r="B83" s="6" t="s">
        <v>16</v>
      </c>
      <c r="C83" s="10">
        <v>46204</v>
      </c>
      <c r="D83" s="11" t="s">
        <v>155</v>
      </c>
      <c r="E83" s="5" t="s">
        <v>156</v>
      </c>
      <c r="F83" s="6" t="s">
        <v>157</v>
      </c>
      <c r="G83" s="6"/>
      <c r="H83" s="32">
        <v>46213</v>
      </c>
      <c r="I83" s="7">
        <v>46233</v>
      </c>
      <c r="J83" s="8" t="s">
        <v>5</v>
      </c>
      <c r="K83" s="9"/>
    </row>
    <row r="84" spans="1:11">
      <c r="A84" s="15">
        <f t="shared" si="3"/>
        <v>82</v>
      </c>
      <c r="B84" s="6" t="s">
        <v>16</v>
      </c>
      <c r="C84" s="10">
        <v>46204</v>
      </c>
      <c r="D84" s="11" t="s">
        <v>139</v>
      </c>
      <c r="E84" s="5" t="s">
        <v>158</v>
      </c>
      <c r="F84" s="6" t="s">
        <v>153</v>
      </c>
      <c r="G84" s="6"/>
      <c r="H84" s="32">
        <v>46213</v>
      </c>
      <c r="I84" s="7"/>
      <c r="J84" s="8" t="s">
        <v>4</v>
      </c>
      <c r="K84" s="9"/>
    </row>
    <row r="85" spans="1:11">
      <c r="A85" s="15">
        <f t="shared" si="3"/>
        <v>83</v>
      </c>
      <c r="B85" s="6" t="s">
        <v>15</v>
      </c>
      <c r="C85" s="10">
        <v>46204</v>
      </c>
      <c r="D85" s="11" t="s">
        <v>38</v>
      </c>
      <c r="E85" s="5" t="s">
        <v>159</v>
      </c>
      <c r="F85" s="6" t="s">
        <v>51</v>
      </c>
      <c r="G85" s="6"/>
      <c r="H85" s="32">
        <v>46252</v>
      </c>
      <c r="I85" s="7">
        <v>46211</v>
      </c>
      <c r="J85" s="8" t="s">
        <v>5</v>
      </c>
      <c r="K85" s="9"/>
    </row>
    <row r="86" spans="1:11">
      <c r="A86" s="15">
        <f t="shared" si="3"/>
        <v>84</v>
      </c>
      <c r="B86" s="22" t="s">
        <v>15</v>
      </c>
      <c r="C86" s="23">
        <v>46204</v>
      </c>
      <c r="D86" s="24" t="s">
        <v>38</v>
      </c>
      <c r="E86" s="25" t="s">
        <v>160</v>
      </c>
      <c r="F86" s="22" t="s">
        <v>51</v>
      </c>
      <c r="G86" s="22"/>
      <c r="H86" s="32">
        <v>46252</v>
      </c>
      <c r="I86" s="26">
        <v>46211</v>
      </c>
      <c r="J86" s="27" t="s">
        <v>5</v>
      </c>
      <c r="K86" s="28"/>
    </row>
    <row r="87" spans="1:11" ht="25.5">
      <c r="A87" s="15">
        <f t="shared" si="3"/>
        <v>85</v>
      </c>
      <c r="B87" s="22" t="s">
        <v>15</v>
      </c>
      <c r="C87" s="23">
        <v>46204</v>
      </c>
      <c r="D87" s="24" t="s">
        <v>38</v>
      </c>
      <c r="E87" s="25" t="s">
        <v>161</v>
      </c>
      <c r="F87" s="22" t="s">
        <v>51</v>
      </c>
      <c r="G87" s="22"/>
      <c r="H87" s="32">
        <v>46212</v>
      </c>
      <c r="I87" s="26">
        <v>46212</v>
      </c>
      <c r="J87" s="8" t="s">
        <v>5</v>
      </c>
      <c r="K87" s="28"/>
    </row>
    <row r="88" spans="1:11" ht="25.5">
      <c r="A88" s="15">
        <f t="shared" si="3"/>
        <v>86</v>
      </c>
      <c r="B88" s="22" t="s">
        <v>15</v>
      </c>
      <c r="C88" s="23">
        <v>46204</v>
      </c>
      <c r="D88" s="24" t="s">
        <v>38</v>
      </c>
      <c r="E88" s="25" t="s">
        <v>162</v>
      </c>
      <c r="F88" s="22" t="s">
        <v>51</v>
      </c>
      <c r="G88" s="22"/>
      <c r="H88" s="32">
        <v>46212</v>
      </c>
      <c r="I88" s="26">
        <v>46217</v>
      </c>
      <c r="J88" s="8" t="s">
        <v>5</v>
      </c>
      <c r="K88" s="28" t="s">
        <v>163</v>
      </c>
    </row>
    <row r="89" spans="1:11">
      <c r="A89" s="15">
        <f t="shared" si="3"/>
        <v>87</v>
      </c>
      <c r="B89" s="22" t="s">
        <v>15</v>
      </c>
      <c r="C89" s="23">
        <v>46204</v>
      </c>
      <c r="D89" s="24" t="s">
        <v>38</v>
      </c>
      <c r="E89" s="25" t="s">
        <v>164</v>
      </c>
      <c r="F89" s="22" t="s">
        <v>46</v>
      </c>
      <c r="G89" s="22"/>
      <c r="H89" s="32">
        <v>46218</v>
      </c>
      <c r="I89" s="26"/>
      <c r="J89" s="8" t="s">
        <v>5</v>
      </c>
      <c r="K89" s="28"/>
    </row>
    <row r="90" spans="1:11" ht="38.25">
      <c r="A90" s="15">
        <f t="shared" si="3"/>
        <v>88</v>
      </c>
      <c r="B90" s="22" t="s">
        <v>23</v>
      </c>
      <c r="C90" s="23">
        <v>46204</v>
      </c>
      <c r="D90" s="24" t="s">
        <v>165</v>
      </c>
      <c r="E90" s="25" t="s">
        <v>166</v>
      </c>
      <c r="F90" s="22" t="s">
        <v>167</v>
      </c>
      <c r="G90" s="22"/>
      <c r="H90" s="32">
        <v>46220</v>
      </c>
      <c r="I90" s="26">
        <v>46235</v>
      </c>
      <c r="J90" s="8" t="s">
        <v>5</v>
      </c>
      <c r="K90" s="28" t="s">
        <v>168</v>
      </c>
    </row>
    <row r="91" spans="1:11" ht="38.25">
      <c r="A91" s="15">
        <f t="shared" si="3"/>
        <v>89</v>
      </c>
      <c r="B91" s="22" t="s">
        <v>23</v>
      </c>
      <c r="C91" s="23">
        <v>46204</v>
      </c>
      <c r="D91" s="24" t="s">
        <v>165</v>
      </c>
      <c r="E91" s="5" t="s">
        <v>169</v>
      </c>
      <c r="F91" s="22" t="s">
        <v>167</v>
      </c>
      <c r="G91" s="6"/>
      <c r="H91" s="32">
        <v>46220</v>
      </c>
      <c r="I91" s="26">
        <v>46235</v>
      </c>
      <c r="J91" s="8" t="s">
        <v>5</v>
      </c>
      <c r="K91" s="9" t="s">
        <v>170</v>
      </c>
    </row>
    <row r="92" spans="1:11" ht="25.5">
      <c r="A92" s="15">
        <f t="shared" si="3"/>
        <v>90</v>
      </c>
      <c r="B92" s="22" t="s">
        <v>23</v>
      </c>
      <c r="C92" s="23">
        <v>46204</v>
      </c>
      <c r="D92" s="24" t="s">
        <v>165</v>
      </c>
      <c r="E92" s="5" t="s">
        <v>171</v>
      </c>
      <c r="F92" s="22" t="s">
        <v>167</v>
      </c>
      <c r="G92" s="6"/>
      <c r="H92" s="32">
        <v>46220</v>
      </c>
      <c r="I92" s="26">
        <v>46235</v>
      </c>
      <c r="J92" s="8" t="s">
        <v>5</v>
      </c>
      <c r="K92" s="9"/>
    </row>
    <row r="93" spans="1:11" ht="63.75">
      <c r="A93" s="15">
        <f t="shared" si="3"/>
        <v>91</v>
      </c>
      <c r="B93" s="22" t="s">
        <v>23</v>
      </c>
      <c r="C93" s="23">
        <v>46204</v>
      </c>
      <c r="D93" s="24" t="s">
        <v>165</v>
      </c>
      <c r="E93" s="5" t="s">
        <v>172</v>
      </c>
      <c r="F93" s="22" t="s">
        <v>51</v>
      </c>
      <c r="G93" s="6"/>
      <c r="H93" s="32">
        <v>46220</v>
      </c>
      <c r="I93" s="26">
        <v>46235</v>
      </c>
      <c r="J93" s="8" t="s">
        <v>5</v>
      </c>
      <c r="K93" s="9"/>
    </row>
    <row r="94" spans="1:11" ht="25.5">
      <c r="A94" s="15">
        <f t="shared" si="3"/>
        <v>92</v>
      </c>
      <c r="B94" s="22" t="s">
        <v>23</v>
      </c>
      <c r="C94" s="23">
        <v>46204</v>
      </c>
      <c r="D94" s="24" t="s">
        <v>165</v>
      </c>
      <c r="E94" s="25" t="s">
        <v>173</v>
      </c>
      <c r="F94" s="22" t="s">
        <v>167</v>
      </c>
      <c r="G94" s="22"/>
      <c r="H94" s="32">
        <v>46220</v>
      </c>
      <c r="I94" s="26">
        <v>46235</v>
      </c>
      <c r="J94" s="8" t="s">
        <v>5</v>
      </c>
      <c r="K94" s="9"/>
    </row>
    <row r="95" spans="1:11">
      <c r="A95" s="15">
        <f t="shared" si="3"/>
        <v>93</v>
      </c>
      <c r="B95" s="6" t="s">
        <v>22</v>
      </c>
      <c r="C95" s="23">
        <v>46204</v>
      </c>
      <c r="D95" s="11" t="s">
        <v>174</v>
      </c>
      <c r="E95" s="5" t="s">
        <v>175</v>
      </c>
      <c r="F95" s="6" t="s">
        <v>91</v>
      </c>
      <c r="G95" s="6"/>
      <c r="H95" s="32">
        <v>46234</v>
      </c>
      <c r="I95" s="7"/>
      <c r="J95" s="8" t="s">
        <v>6</v>
      </c>
      <c r="K95" s="9"/>
    </row>
    <row r="96" spans="1:11" ht="25.5">
      <c r="A96" s="15">
        <f t="shared" si="3"/>
        <v>94</v>
      </c>
      <c r="B96" s="6" t="s">
        <v>11</v>
      </c>
      <c r="C96" s="10">
        <v>46235</v>
      </c>
      <c r="D96" s="24" t="s">
        <v>176</v>
      </c>
      <c r="E96" s="25" t="s">
        <v>177</v>
      </c>
      <c r="F96" s="22" t="s">
        <v>77</v>
      </c>
      <c r="G96" s="22"/>
      <c r="H96" s="32">
        <v>46234</v>
      </c>
      <c r="I96" s="26"/>
      <c r="J96" s="27" t="s">
        <v>133</v>
      </c>
      <c r="K96" s="28" t="s">
        <v>178</v>
      </c>
    </row>
    <row r="97" spans="1:11" ht="25.5">
      <c r="A97" s="15">
        <f>A96+1</f>
        <v>95</v>
      </c>
      <c r="B97" s="6" t="s">
        <v>9</v>
      </c>
      <c r="C97" s="10">
        <v>46204</v>
      </c>
      <c r="D97" s="11" t="s">
        <v>179</v>
      </c>
      <c r="E97" s="5" t="s">
        <v>180</v>
      </c>
      <c r="F97" s="6" t="s">
        <v>91</v>
      </c>
      <c r="G97" s="6"/>
      <c r="H97" s="32">
        <v>46235</v>
      </c>
      <c r="I97" s="7"/>
      <c r="J97" s="8" t="s">
        <v>6</v>
      </c>
      <c r="K97" s="9"/>
    </row>
    <row r="98" spans="1:11">
      <c r="A98" s="15">
        <f t="shared" si="3"/>
        <v>96</v>
      </c>
      <c r="B98" s="6" t="s">
        <v>10</v>
      </c>
      <c r="C98" s="10">
        <v>46204</v>
      </c>
      <c r="D98" s="11" t="s">
        <v>22</v>
      </c>
      <c r="E98" s="5" t="s">
        <v>181</v>
      </c>
      <c r="F98" s="6" t="s">
        <v>91</v>
      </c>
      <c r="G98" s="6">
        <v>3</v>
      </c>
      <c r="H98" s="32" t="s">
        <v>182</v>
      </c>
      <c r="I98" s="7" t="s">
        <v>183</v>
      </c>
      <c r="J98" s="8" t="s">
        <v>5</v>
      </c>
      <c r="K98" s="28"/>
    </row>
    <row r="99" spans="1:11">
      <c r="A99" s="15">
        <f t="shared" si="3"/>
        <v>97</v>
      </c>
      <c r="B99" s="6" t="s">
        <v>10</v>
      </c>
      <c r="C99" s="10">
        <v>46204</v>
      </c>
      <c r="D99" s="11" t="s">
        <v>184</v>
      </c>
      <c r="E99" s="5" t="s">
        <v>185</v>
      </c>
      <c r="F99" s="6" t="s">
        <v>91</v>
      </c>
      <c r="G99" s="6"/>
      <c r="H99" s="32">
        <v>46220</v>
      </c>
      <c r="I99" s="7">
        <v>46220</v>
      </c>
      <c r="J99" s="8" t="s">
        <v>5</v>
      </c>
      <c r="K99" s="28"/>
    </row>
    <row r="100" spans="1:11" ht="25.5">
      <c r="A100" s="15">
        <f t="shared" si="3"/>
        <v>98</v>
      </c>
      <c r="B100" s="6" t="s">
        <v>9</v>
      </c>
      <c r="C100" s="23" t="s">
        <v>186</v>
      </c>
      <c r="D100" s="11" t="s">
        <v>179</v>
      </c>
      <c r="E100" s="5" t="s">
        <v>187</v>
      </c>
      <c r="F100" s="6" t="s">
        <v>91</v>
      </c>
      <c r="G100" s="6"/>
      <c r="H100" s="32">
        <v>46219</v>
      </c>
      <c r="I100" s="7"/>
      <c r="J100" s="8" t="s">
        <v>4</v>
      </c>
      <c r="K100" s="28"/>
    </row>
    <row r="101" spans="1:11">
      <c r="A101" s="15">
        <f t="shared" si="3"/>
        <v>99</v>
      </c>
      <c r="B101" s="6" t="s">
        <v>10</v>
      </c>
      <c r="C101" s="10">
        <v>46204</v>
      </c>
      <c r="D101" s="11" t="s">
        <v>22</v>
      </c>
      <c r="E101" s="5" t="s">
        <v>188</v>
      </c>
      <c r="F101" s="6" t="s">
        <v>91</v>
      </c>
      <c r="G101" s="6"/>
      <c r="H101" s="32">
        <v>46219</v>
      </c>
      <c r="I101" s="7">
        <v>46128</v>
      </c>
      <c r="J101" s="8" t="s">
        <v>5</v>
      </c>
      <c r="K101" s="28"/>
    </row>
    <row r="102" spans="1:11">
      <c r="A102" s="15">
        <f t="shared" si="3"/>
        <v>100</v>
      </c>
      <c r="B102" s="6" t="s">
        <v>10</v>
      </c>
      <c r="C102" s="10">
        <v>46204</v>
      </c>
      <c r="D102" s="11" t="s">
        <v>22</v>
      </c>
      <c r="E102" s="5" t="s">
        <v>189</v>
      </c>
      <c r="F102" s="6" t="s">
        <v>91</v>
      </c>
      <c r="G102" s="6"/>
      <c r="H102" s="32">
        <v>46219</v>
      </c>
      <c r="I102" s="7">
        <v>46128</v>
      </c>
      <c r="J102" s="8" t="s">
        <v>5</v>
      </c>
      <c r="K102" s="28"/>
    </row>
    <row r="103" spans="1:11">
      <c r="A103" s="15">
        <f t="shared" si="3"/>
        <v>101</v>
      </c>
      <c r="B103" s="6" t="s">
        <v>10</v>
      </c>
      <c r="C103" s="10">
        <v>46204</v>
      </c>
      <c r="D103" s="11" t="s">
        <v>22</v>
      </c>
      <c r="E103" s="5" t="s">
        <v>190</v>
      </c>
      <c r="F103" s="6" t="s">
        <v>91</v>
      </c>
      <c r="G103" s="6"/>
      <c r="H103" s="32">
        <v>46219</v>
      </c>
      <c r="I103" s="7">
        <v>46128</v>
      </c>
      <c r="J103" s="8" t="s">
        <v>5</v>
      </c>
      <c r="K103" s="28"/>
    </row>
    <row r="104" spans="1:11" ht="25.5">
      <c r="A104" s="15">
        <f t="shared" si="3"/>
        <v>102</v>
      </c>
      <c r="B104" s="6" t="s">
        <v>10</v>
      </c>
      <c r="C104" s="10">
        <v>46204</v>
      </c>
      <c r="D104" s="11" t="s">
        <v>184</v>
      </c>
      <c r="E104" s="5" t="s">
        <v>191</v>
      </c>
      <c r="F104" s="6" t="s">
        <v>77</v>
      </c>
      <c r="G104" s="6"/>
      <c r="H104" s="32">
        <v>46220</v>
      </c>
      <c r="I104" s="7">
        <v>46220</v>
      </c>
      <c r="J104" s="8" t="s">
        <v>5</v>
      </c>
      <c r="K104" s="28"/>
    </row>
    <row r="105" spans="1:11">
      <c r="A105" s="15">
        <f t="shared" si="3"/>
        <v>103</v>
      </c>
      <c r="B105" s="6" t="s">
        <v>10</v>
      </c>
      <c r="C105" s="10">
        <v>46204</v>
      </c>
      <c r="D105" s="11" t="s">
        <v>184</v>
      </c>
      <c r="E105" s="5" t="s">
        <v>192</v>
      </c>
      <c r="F105" s="6" t="s">
        <v>91</v>
      </c>
      <c r="G105" s="6"/>
      <c r="H105" s="32">
        <v>46220</v>
      </c>
      <c r="I105" s="7">
        <v>46220</v>
      </c>
      <c r="J105" s="8" t="s">
        <v>5</v>
      </c>
      <c r="K105" s="28"/>
    </row>
    <row r="106" spans="1:11">
      <c r="A106" s="15">
        <f t="shared" si="3"/>
        <v>104</v>
      </c>
      <c r="B106" s="6" t="s">
        <v>11</v>
      </c>
      <c r="C106" s="10">
        <v>46235</v>
      </c>
      <c r="D106" s="11" t="s">
        <v>124</v>
      </c>
      <c r="E106" s="5" t="s">
        <v>193</v>
      </c>
      <c r="F106" s="6" t="s">
        <v>91</v>
      </c>
      <c r="G106" s="6"/>
      <c r="H106" s="32">
        <v>46220</v>
      </c>
      <c r="I106" s="7"/>
      <c r="J106" s="8" t="s">
        <v>4</v>
      </c>
      <c r="K106" s="28"/>
    </row>
    <row r="107" spans="1:11" ht="25.5">
      <c r="A107" s="15">
        <f t="shared" si="3"/>
        <v>105</v>
      </c>
      <c r="B107" s="6" t="s">
        <v>10</v>
      </c>
      <c r="C107" s="10">
        <v>46204</v>
      </c>
      <c r="D107" s="11" t="s">
        <v>194</v>
      </c>
      <c r="E107" s="5" t="s">
        <v>195</v>
      </c>
      <c r="F107" s="6" t="s">
        <v>77</v>
      </c>
      <c r="G107" s="6"/>
      <c r="H107" s="32">
        <v>46220</v>
      </c>
      <c r="I107" s="7">
        <v>46220</v>
      </c>
      <c r="J107" s="8" t="s">
        <v>5</v>
      </c>
      <c r="K107" s="28"/>
    </row>
    <row r="108" spans="1:11" ht="25.5">
      <c r="A108" s="15">
        <f t="shared" si="3"/>
        <v>106</v>
      </c>
      <c r="B108" s="6" t="s">
        <v>11</v>
      </c>
      <c r="C108" s="10">
        <v>46235</v>
      </c>
      <c r="D108" s="11" t="s">
        <v>196</v>
      </c>
      <c r="E108" s="25" t="s">
        <v>197</v>
      </c>
      <c r="F108" s="6" t="s">
        <v>77</v>
      </c>
      <c r="G108" s="6"/>
      <c r="H108" s="32">
        <v>46220</v>
      </c>
      <c r="I108" s="7"/>
      <c r="J108" s="8" t="s">
        <v>4</v>
      </c>
      <c r="K108" s="28"/>
    </row>
    <row r="109" spans="1:11">
      <c r="A109" s="15">
        <f t="shared" si="3"/>
        <v>107</v>
      </c>
      <c r="B109" s="6" t="s">
        <v>10</v>
      </c>
      <c r="C109" s="10">
        <v>46204</v>
      </c>
      <c r="D109" s="11" t="s">
        <v>22</v>
      </c>
      <c r="E109" s="25" t="s">
        <v>198</v>
      </c>
      <c r="F109" s="6" t="s">
        <v>91</v>
      </c>
      <c r="G109" s="6"/>
      <c r="H109" s="32">
        <v>46220</v>
      </c>
      <c r="I109" s="7">
        <v>46220</v>
      </c>
      <c r="J109" s="8" t="s">
        <v>5</v>
      </c>
      <c r="K109" s="28"/>
    </row>
    <row r="110" spans="1:11">
      <c r="A110" s="15">
        <f t="shared" si="3"/>
        <v>108</v>
      </c>
      <c r="B110" s="6" t="s">
        <v>11</v>
      </c>
      <c r="C110" s="10">
        <v>46235</v>
      </c>
      <c r="D110" s="11" t="s">
        <v>184</v>
      </c>
      <c r="E110" s="25" t="s">
        <v>199</v>
      </c>
      <c r="F110" s="6" t="s">
        <v>91</v>
      </c>
      <c r="G110" s="6"/>
      <c r="H110" s="32">
        <v>46220</v>
      </c>
      <c r="I110" s="7"/>
      <c r="J110" s="8" t="s">
        <v>4</v>
      </c>
      <c r="K110" s="28"/>
    </row>
    <row r="111" spans="1:11" ht="25.5">
      <c r="A111" s="15">
        <f t="shared" si="3"/>
        <v>109</v>
      </c>
      <c r="B111" s="6" t="s">
        <v>10</v>
      </c>
      <c r="C111" s="10">
        <v>46204</v>
      </c>
      <c r="D111" s="11" t="s">
        <v>200</v>
      </c>
      <c r="E111" s="25" t="s">
        <v>201</v>
      </c>
      <c r="F111" s="6" t="s">
        <v>77</v>
      </c>
      <c r="G111" s="6">
        <v>6</v>
      </c>
      <c r="H111" s="32">
        <v>46204</v>
      </c>
      <c r="I111" s="7">
        <v>46204</v>
      </c>
      <c r="J111" s="8" t="s">
        <v>5</v>
      </c>
      <c r="K111" s="28"/>
    </row>
    <row r="112" spans="1:11" ht="25.5">
      <c r="A112" s="15">
        <f t="shared" si="3"/>
        <v>110</v>
      </c>
      <c r="B112" s="6" t="s">
        <v>10</v>
      </c>
      <c r="C112" s="10">
        <v>46204</v>
      </c>
      <c r="D112" s="11" t="s">
        <v>200</v>
      </c>
      <c r="E112" s="25" t="s">
        <v>202</v>
      </c>
      <c r="F112" s="6" t="s">
        <v>77</v>
      </c>
      <c r="G112" s="6">
        <v>3.5</v>
      </c>
      <c r="H112" s="32">
        <v>46210</v>
      </c>
      <c r="I112" s="7">
        <v>46210</v>
      </c>
      <c r="J112" s="8" t="s">
        <v>5</v>
      </c>
      <c r="K112" s="28"/>
    </row>
    <row r="113" spans="1:11" ht="25.5">
      <c r="A113" s="15">
        <f t="shared" si="3"/>
        <v>111</v>
      </c>
      <c r="B113" s="6" t="s">
        <v>10</v>
      </c>
      <c r="C113" s="10">
        <v>46204</v>
      </c>
      <c r="D113" s="11" t="s">
        <v>203</v>
      </c>
      <c r="E113" s="25" t="s">
        <v>204</v>
      </c>
      <c r="F113" s="6" t="s">
        <v>77</v>
      </c>
      <c r="G113" s="6">
        <v>2.5</v>
      </c>
      <c r="H113" s="32">
        <v>46213</v>
      </c>
      <c r="I113" s="7">
        <v>46213</v>
      </c>
      <c r="J113" s="8" t="s">
        <v>5</v>
      </c>
      <c r="K113" s="28"/>
    </row>
    <row r="114" spans="1:11" ht="25.5">
      <c r="A114" s="15">
        <f t="shared" si="3"/>
        <v>112</v>
      </c>
      <c r="B114" s="6" t="s">
        <v>10</v>
      </c>
      <c r="C114" s="10">
        <v>46204</v>
      </c>
      <c r="D114" s="11" t="s">
        <v>203</v>
      </c>
      <c r="E114" s="25" t="s">
        <v>205</v>
      </c>
      <c r="F114" s="6" t="s">
        <v>77</v>
      </c>
      <c r="G114" s="6">
        <v>5</v>
      </c>
      <c r="H114" s="32">
        <v>46213</v>
      </c>
      <c r="I114" s="7">
        <v>46213</v>
      </c>
      <c r="J114" s="8" t="s">
        <v>5</v>
      </c>
      <c r="K114" s="28"/>
    </row>
    <row r="115" spans="1:11" ht="25.5">
      <c r="A115" s="15">
        <f t="shared" si="3"/>
        <v>113</v>
      </c>
      <c r="B115" s="6" t="s">
        <v>10</v>
      </c>
      <c r="C115" s="10">
        <v>46204</v>
      </c>
      <c r="D115" s="11" t="s">
        <v>203</v>
      </c>
      <c r="E115" s="25" t="s">
        <v>206</v>
      </c>
      <c r="F115" s="6" t="s">
        <v>77</v>
      </c>
      <c r="G115" s="6">
        <v>5</v>
      </c>
      <c r="H115" s="32">
        <v>46217</v>
      </c>
      <c r="I115" s="7">
        <v>46217</v>
      </c>
      <c r="J115" s="8" t="s">
        <v>5</v>
      </c>
      <c r="K115" s="28"/>
    </row>
    <row r="116" spans="1:11" ht="25.5">
      <c r="A116" s="15">
        <f t="shared" si="3"/>
        <v>114</v>
      </c>
      <c r="B116" s="6" t="s">
        <v>10</v>
      </c>
      <c r="C116" s="10">
        <v>46204</v>
      </c>
      <c r="D116" s="11" t="s">
        <v>203</v>
      </c>
      <c r="E116" s="25" t="s">
        <v>207</v>
      </c>
      <c r="F116" s="6" t="s">
        <v>77</v>
      </c>
      <c r="G116" s="6">
        <v>5</v>
      </c>
      <c r="H116" s="32">
        <v>46218</v>
      </c>
      <c r="I116" s="7">
        <v>46218</v>
      </c>
      <c r="J116" s="8" t="s">
        <v>5</v>
      </c>
      <c r="K116" s="28"/>
    </row>
    <row r="117" spans="1:11" ht="25.5">
      <c r="A117" s="15">
        <f t="shared" si="3"/>
        <v>115</v>
      </c>
      <c r="B117" s="6" t="s">
        <v>10</v>
      </c>
      <c r="C117" s="10">
        <v>46204</v>
      </c>
      <c r="D117" s="11" t="s">
        <v>203</v>
      </c>
      <c r="E117" s="25" t="s">
        <v>208</v>
      </c>
      <c r="F117" s="6" t="s">
        <v>77</v>
      </c>
      <c r="G117" s="6">
        <v>4</v>
      </c>
      <c r="H117" s="32">
        <v>46219</v>
      </c>
      <c r="I117" s="7">
        <v>46219</v>
      </c>
      <c r="J117" s="8" t="s">
        <v>5</v>
      </c>
      <c r="K117" s="28"/>
    </row>
    <row r="118" spans="1:11" ht="38.25">
      <c r="A118" s="15">
        <f t="shared" si="3"/>
        <v>116</v>
      </c>
      <c r="B118" s="6" t="s">
        <v>10</v>
      </c>
      <c r="C118" s="10">
        <v>46204</v>
      </c>
      <c r="D118" s="11" t="s">
        <v>203</v>
      </c>
      <c r="E118" s="25" t="s">
        <v>209</v>
      </c>
      <c r="F118" s="6" t="s">
        <v>77</v>
      </c>
      <c r="G118" s="6">
        <v>4</v>
      </c>
      <c r="H118" s="32">
        <v>46219</v>
      </c>
      <c r="I118" s="7">
        <v>46219</v>
      </c>
      <c r="J118" s="8" t="s">
        <v>5</v>
      </c>
      <c r="K118" s="28"/>
    </row>
    <row r="119" spans="1:11">
      <c r="A119" s="15">
        <f t="shared" si="3"/>
        <v>117</v>
      </c>
      <c r="B119" s="6" t="s">
        <v>10</v>
      </c>
      <c r="C119" s="10">
        <v>46204</v>
      </c>
      <c r="D119" s="11" t="s">
        <v>22</v>
      </c>
      <c r="E119" s="5" t="s">
        <v>210</v>
      </c>
      <c r="F119" s="6" t="s">
        <v>91</v>
      </c>
      <c r="G119" s="6">
        <v>3</v>
      </c>
      <c r="H119" s="32">
        <v>46217</v>
      </c>
      <c r="I119" s="7">
        <v>46217</v>
      </c>
      <c r="J119" s="8" t="s">
        <v>5</v>
      </c>
      <c r="K119" s="28"/>
    </row>
    <row r="120" spans="1:11">
      <c r="A120" s="15">
        <f t="shared" si="3"/>
        <v>118</v>
      </c>
      <c r="B120" s="6" t="s">
        <v>10</v>
      </c>
      <c r="C120" s="10">
        <v>46235</v>
      </c>
      <c r="D120" s="11" t="s">
        <v>73</v>
      </c>
      <c r="E120" s="5" t="s">
        <v>211</v>
      </c>
      <c r="F120" s="6" t="s">
        <v>51</v>
      </c>
      <c r="G120" s="6">
        <v>-40</v>
      </c>
      <c r="H120" s="32">
        <v>46235</v>
      </c>
      <c r="I120" s="7">
        <v>46265</v>
      </c>
      <c r="J120" s="8" t="s">
        <v>5</v>
      </c>
      <c r="K120" s="28"/>
    </row>
    <row r="121" spans="1:11">
      <c r="A121" s="15">
        <f t="shared" si="3"/>
        <v>119</v>
      </c>
      <c r="B121" s="6" t="s">
        <v>10</v>
      </c>
      <c r="C121" s="10">
        <v>46235</v>
      </c>
      <c r="D121" s="11" t="s">
        <v>73</v>
      </c>
      <c r="E121" s="5" t="s">
        <v>75</v>
      </c>
      <c r="F121" s="6" t="s">
        <v>51</v>
      </c>
      <c r="G121" s="6">
        <v>-39</v>
      </c>
      <c r="H121" s="32">
        <v>46235</v>
      </c>
      <c r="I121" s="7">
        <v>46265</v>
      </c>
      <c r="J121" s="8" t="s">
        <v>5</v>
      </c>
      <c r="K121" s="28"/>
    </row>
    <row r="122" spans="1:11" ht="25.5">
      <c r="A122" s="15">
        <f t="shared" si="3"/>
        <v>120</v>
      </c>
      <c r="B122" s="6" t="s">
        <v>9</v>
      </c>
      <c r="C122" s="23">
        <v>46204</v>
      </c>
      <c r="D122" s="11" t="s">
        <v>179</v>
      </c>
      <c r="E122" s="5" t="s">
        <v>212</v>
      </c>
      <c r="F122" s="6" t="s">
        <v>213</v>
      </c>
      <c r="G122" s="6"/>
      <c r="H122" s="32">
        <v>46224</v>
      </c>
      <c r="I122" s="7"/>
      <c r="J122" s="8" t="s">
        <v>4</v>
      </c>
      <c r="K122" s="28"/>
    </row>
    <row r="123" spans="1:11" ht="25.5">
      <c r="A123" s="15">
        <f t="shared" si="3"/>
        <v>121</v>
      </c>
      <c r="B123" s="6" t="s">
        <v>9</v>
      </c>
      <c r="C123" s="23">
        <v>46204</v>
      </c>
      <c r="D123" s="11" t="s">
        <v>214</v>
      </c>
      <c r="E123" s="5" t="s">
        <v>215</v>
      </c>
      <c r="F123" s="6" t="s">
        <v>91</v>
      </c>
      <c r="G123" s="6"/>
      <c r="H123" s="32">
        <v>46224</v>
      </c>
      <c r="I123" s="7"/>
      <c r="J123" s="8" t="s">
        <v>6</v>
      </c>
      <c r="K123" s="28"/>
    </row>
    <row r="124" spans="1:11" ht="25.5">
      <c r="A124" s="15">
        <f t="shared" si="3"/>
        <v>122</v>
      </c>
      <c r="B124" s="6" t="s">
        <v>9</v>
      </c>
      <c r="C124" s="23">
        <v>46204</v>
      </c>
      <c r="D124" s="11" t="s">
        <v>216</v>
      </c>
      <c r="E124" s="5" t="s">
        <v>217</v>
      </c>
      <c r="F124" s="6" t="s">
        <v>91</v>
      </c>
      <c r="G124" s="6"/>
      <c r="H124" s="32">
        <v>46224</v>
      </c>
      <c r="I124" s="7"/>
      <c r="J124" s="8" t="s">
        <v>6</v>
      </c>
      <c r="K124" s="28"/>
    </row>
    <row r="125" spans="1:11" ht="25.5">
      <c r="A125" s="15">
        <f t="shared" si="3"/>
        <v>123</v>
      </c>
      <c r="B125" s="6" t="s">
        <v>9</v>
      </c>
      <c r="C125" s="23">
        <v>46204</v>
      </c>
      <c r="D125" s="11" t="s">
        <v>216</v>
      </c>
      <c r="E125" s="5" t="s">
        <v>218</v>
      </c>
      <c r="F125" s="6" t="s">
        <v>91</v>
      </c>
      <c r="G125" s="6"/>
      <c r="H125" s="32">
        <v>46224</v>
      </c>
      <c r="I125" s="7"/>
      <c r="J125" s="8" t="s">
        <v>6</v>
      </c>
      <c r="K125" s="28"/>
    </row>
    <row r="126" spans="1:11" ht="25.5">
      <c r="A126" s="15">
        <f t="shared" si="3"/>
        <v>124</v>
      </c>
      <c r="B126" s="6" t="s">
        <v>9</v>
      </c>
      <c r="C126" s="23">
        <v>46204</v>
      </c>
      <c r="D126" s="11" t="s">
        <v>216</v>
      </c>
      <c r="E126" s="5" t="s">
        <v>219</v>
      </c>
      <c r="F126" s="6" t="s">
        <v>91</v>
      </c>
      <c r="G126" s="6"/>
      <c r="H126" s="32">
        <v>46224</v>
      </c>
      <c r="I126" s="7"/>
      <c r="J126" s="8" t="s">
        <v>6</v>
      </c>
      <c r="K126" s="28"/>
    </row>
    <row r="127" spans="1:11" ht="25.5">
      <c r="A127" s="15">
        <f t="shared" si="3"/>
        <v>125</v>
      </c>
      <c r="B127" s="6" t="s">
        <v>9</v>
      </c>
      <c r="C127" s="23">
        <v>46204</v>
      </c>
      <c r="D127" s="11" t="s">
        <v>216</v>
      </c>
      <c r="E127" s="5" t="s">
        <v>220</v>
      </c>
      <c r="F127" s="6" t="s">
        <v>91</v>
      </c>
      <c r="G127" s="6"/>
      <c r="H127" s="32">
        <v>46224</v>
      </c>
      <c r="I127" s="7"/>
      <c r="J127" s="8" t="s">
        <v>6</v>
      </c>
      <c r="K127" s="28"/>
    </row>
    <row r="128" spans="1:11" ht="25.5">
      <c r="A128" s="15">
        <f t="shared" si="3"/>
        <v>126</v>
      </c>
      <c r="B128" s="6" t="s">
        <v>9</v>
      </c>
      <c r="C128" s="23">
        <v>46204</v>
      </c>
      <c r="D128" s="11" t="s">
        <v>216</v>
      </c>
      <c r="E128" s="5" t="s">
        <v>221</v>
      </c>
      <c r="F128" s="6" t="s">
        <v>91</v>
      </c>
      <c r="G128" s="6"/>
      <c r="H128" s="32">
        <v>46224</v>
      </c>
      <c r="I128" s="7"/>
      <c r="J128" s="8" t="s">
        <v>6</v>
      </c>
      <c r="K128" s="28"/>
    </row>
    <row r="129" spans="1:11" ht="165.75">
      <c r="A129" s="15">
        <f t="shared" si="3"/>
        <v>127</v>
      </c>
      <c r="B129" s="6" t="s">
        <v>9</v>
      </c>
      <c r="C129" s="23">
        <v>46204</v>
      </c>
      <c r="D129" s="11" t="s">
        <v>184</v>
      </c>
      <c r="E129" s="5" t="s">
        <v>222</v>
      </c>
      <c r="F129" s="6" t="s">
        <v>91</v>
      </c>
      <c r="G129" s="6"/>
      <c r="H129" s="32">
        <v>46224</v>
      </c>
      <c r="I129" s="7"/>
      <c r="J129" s="8" t="s">
        <v>4</v>
      </c>
      <c r="K129" s="28"/>
    </row>
    <row r="130" spans="1:11" ht="25.5">
      <c r="A130" s="15">
        <f t="shared" si="3"/>
        <v>128</v>
      </c>
      <c r="B130" s="6" t="s">
        <v>9</v>
      </c>
      <c r="C130" s="23">
        <v>46204</v>
      </c>
      <c r="D130" s="11" t="s">
        <v>223</v>
      </c>
      <c r="E130" s="5" t="s">
        <v>215</v>
      </c>
      <c r="F130" s="6" t="s">
        <v>91</v>
      </c>
      <c r="G130" s="6"/>
      <c r="H130" s="32">
        <v>46224</v>
      </c>
      <c r="I130" s="7"/>
      <c r="J130" s="8" t="s">
        <v>6</v>
      </c>
      <c r="K130" s="28"/>
    </row>
    <row r="131" spans="1:11" ht="25.5">
      <c r="A131" s="15">
        <f t="shared" si="3"/>
        <v>129</v>
      </c>
      <c r="B131" s="6" t="s">
        <v>9</v>
      </c>
      <c r="C131" s="23">
        <v>46204</v>
      </c>
      <c r="D131" s="11" t="s">
        <v>223</v>
      </c>
      <c r="E131" s="5" t="s">
        <v>217</v>
      </c>
      <c r="F131" s="6" t="s">
        <v>91</v>
      </c>
      <c r="G131" s="6"/>
      <c r="H131" s="32">
        <v>46224</v>
      </c>
      <c r="I131" s="7"/>
      <c r="J131" s="8" t="s">
        <v>6</v>
      </c>
      <c r="K131" s="28"/>
    </row>
    <row r="132" spans="1:11" ht="25.5">
      <c r="A132" s="15">
        <f t="shared" si="3"/>
        <v>130</v>
      </c>
      <c r="B132" s="6" t="s">
        <v>9</v>
      </c>
      <c r="C132" s="23">
        <v>46204</v>
      </c>
      <c r="D132" s="11" t="s">
        <v>223</v>
      </c>
      <c r="E132" s="5" t="s">
        <v>218</v>
      </c>
      <c r="F132" s="6" t="s">
        <v>91</v>
      </c>
      <c r="G132" s="6"/>
      <c r="H132" s="32">
        <v>46224</v>
      </c>
      <c r="I132" s="7"/>
      <c r="J132" s="8" t="s">
        <v>6</v>
      </c>
      <c r="K132" s="28"/>
    </row>
    <row r="133" spans="1:11" ht="25.5">
      <c r="A133" s="15">
        <f t="shared" ref="A133:A178" si="4">A132+1</f>
        <v>131</v>
      </c>
      <c r="B133" s="6" t="s">
        <v>9</v>
      </c>
      <c r="C133" s="23">
        <v>46204</v>
      </c>
      <c r="D133" s="11" t="s">
        <v>223</v>
      </c>
      <c r="E133" s="5" t="s">
        <v>219</v>
      </c>
      <c r="F133" s="6" t="s">
        <v>91</v>
      </c>
      <c r="G133" s="6"/>
      <c r="H133" s="32">
        <v>46224</v>
      </c>
      <c r="I133" s="7"/>
      <c r="J133" s="8" t="s">
        <v>6</v>
      </c>
      <c r="K133" s="28"/>
    </row>
    <row r="134" spans="1:11" ht="25.5">
      <c r="A134" s="15">
        <f t="shared" si="4"/>
        <v>132</v>
      </c>
      <c r="B134" s="6" t="s">
        <v>9</v>
      </c>
      <c r="C134" s="23">
        <v>46204</v>
      </c>
      <c r="D134" s="11" t="s">
        <v>223</v>
      </c>
      <c r="E134" s="5" t="s">
        <v>220</v>
      </c>
      <c r="F134" s="6" t="s">
        <v>91</v>
      </c>
      <c r="G134" s="6"/>
      <c r="H134" s="32">
        <v>46224</v>
      </c>
      <c r="I134" s="7"/>
      <c r="J134" s="8" t="s">
        <v>6</v>
      </c>
      <c r="K134" s="28"/>
    </row>
    <row r="135" spans="1:11" ht="25.5">
      <c r="A135" s="15">
        <f t="shared" si="4"/>
        <v>133</v>
      </c>
      <c r="B135" s="6" t="s">
        <v>9</v>
      </c>
      <c r="C135" s="23">
        <v>46204</v>
      </c>
      <c r="D135" s="11" t="s">
        <v>223</v>
      </c>
      <c r="E135" s="5" t="s">
        <v>221</v>
      </c>
      <c r="F135" s="6" t="s">
        <v>91</v>
      </c>
      <c r="G135" s="6"/>
      <c r="H135" s="32">
        <v>46224</v>
      </c>
      <c r="I135" s="7"/>
      <c r="J135" s="8" t="s">
        <v>6</v>
      </c>
      <c r="K135" s="28"/>
    </row>
    <row r="136" spans="1:11" ht="25.5">
      <c r="A136" s="15">
        <f t="shared" si="4"/>
        <v>134</v>
      </c>
      <c r="B136" s="6" t="s">
        <v>9</v>
      </c>
      <c r="C136" s="23">
        <v>46204</v>
      </c>
      <c r="D136" s="11" t="s">
        <v>224</v>
      </c>
      <c r="E136" s="5" t="s">
        <v>215</v>
      </c>
      <c r="F136" s="6" t="s">
        <v>91</v>
      </c>
      <c r="G136" s="6"/>
      <c r="H136" s="32">
        <v>46224</v>
      </c>
      <c r="I136" s="7"/>
      <c r="J136" s="8" t="s">
        <v>6</v>
      </c>
      <c r="K136" s="28"/>
    </row>
    <row r="137" spans="1:11" ht="25.5">
      <c r="A137" s="15">
        <f t="shared" si="4"/>
        <v>135</v>
      </c>
      <c r="B137" s="6" t="s">
        <v>9</v>
      </c>
      <c r="C137" s="23">
        <v>46204</v>
      </c>
      <c r="D137" s="11" t="s">
        <v>224</v>
      </c>
      <c r="E137" s="5" t="s">
        <v>217</v>
      </c>
      <c r="F137" s="6" t="s">
        <v>91</v>
      </c>
      <c r="G137" s="6"/>
      <c r="H137" s="32">
        <v>46224</v>
      </c>
      <c r="I137" s="7"/>
      <c r="J137" s="8" t="s">
        <v>6</v>
      </c>
      <c r="K137" s="28"/>
    </row>
    <row r="138" spans="1:11" ht="25.5">
      <c r="A138" s="15">
        <f t="shared" si="4"/>
        <v>136</v>
      </c>
      <c r="B138" s="6" t="s">
        <v>9</v>
      </c>
      <c r="C138" s="23">
        <v>46204</v>
      </c>
      <c r="D138" s="11" t="s">
        <v>224</v>
      </c>
      <c r="E138" s="5" t="s">
        <v>218</v>
      </c>
      <c r="F138" s="6" t="s">
        <v>91</v>
      </c>
      <c r="G138" s="6"/>
      <c r="H138" s="32">
        <v>46224</v>
      </c>
      <c r="I138" s="7"/>
      <c r="J138" s="8" t="s">
        <v>6</v>
      </c>
      <c r="K138" s="28"/>
    </row>
    <row r="139" spans="1:11" ht="25.5">
      <c r="A139" s="15">
        <f t="shared" si="4"/>
        <v>137</v>
      </c>
      <c r="B139" s="6" t="s">
        <v>9</v>
      </c>
      <c r="C139" s="23">
        <v>46204</v>
      </c>
      <c r="D139" s="11" t="s">
        <v>224</v>
      </c>
      <c r="E139" s="5" t="s">
        <v>219</v>
      </c>
      <c r="F139" s="6" t="s">
        <v>91</v>
      </c>
      <c r="G139" s="6"/>
      <c r="H139" s="32">
        <v>46224</v>
      </c>
      <c r="I139" s="7"/>
      <c r="J139" s="8" t="s">
        <v>6</v>
      </c>
      <c r="K139" s="28"/>
    </row>
    <row r="140" spans="1:11" ht="25.5">
      <c r="A140" s="15">
        <f t="shared" si="4"/>
        <v>138</v>
      </c>
      <c r="B140" s="6" t="s">
        <v>9</v>
      </c>
      <c r="C140" s="23">
        <v>46204</v>
      </c>
      <c r="D140" s="11" t="s">
        <v>224</v>
      </c>
      <c r="E140" s="5" t="s">
        <v>220</v>
      </c>
      <c r="F140" s="6" t="s">
        <v>91</v>
      </c>
      <c r="G140" s="6"/>
      <c r="H140" s="32">
        <v>46224</v>
      </c>
      <c r="I140" s="7"/>
      <c r="J140" s="8" t="s">
        <v>6</v>
      </c>
      <c r="K140" s="28"/>
    </row>
    <row r="141" spans="1:11" ht="25.5">
      <c r="A141" s="15">
        <f t="shared" si="4"/>
        <v>139</v>
      </c>
      <c r="B141" s="6" t="s">
        <v>9</v>
      </c>
      <c r="C141" s="23">
        <v>46204</v>
      </c>
      <c r="D141" s="11" t="s">
        <v>224</v>
      </c>
      <c r="E141" s="5" t="s">
        <v>221</v>
      </c>
      <c r="F141" s="6" t="s">
        <v>91</v>
      </c>
      <c r="G141" s="6"/>
      <c r="H141" s="32">
        <v>46224</v>
      </c>
      <c r="I141" s="7"/>
      <c r="J141" s="8" t="s">
        <v>6</v>
      </c>
      <c r="K141" s="28"/>
    </row>
    <row r="142" spans="1:11" ht="25.5">
      <c r="A142" s="15">
        <f t="shared" si="4"/>
        <v>140</v>
      </c>
      <c r="B142" s="6" t="s">
        <v>9</v>
      </c>
      <c r="C142" s="23">
        <v>46204</v>
      </c>
      <c r="D142" s="11" t="s">
        <v>225</v>
      </c>
      <c r="E142" s="5" t="s">
        <v>215</v>
      </c>
      <c r="F142" s="6" t="s">
        <v>91</v>
      </c>
      <c r="G142" s="6"/>
      <c r="H142" s="32">
        <v>46224</v>
      </c>
      <c r="I142" s="7"/>
      <c r="J142" s="8" t="s">
        <v>6</v>
      </c>
      <c r="K142" s="28"/>
    </row>
    <row r="143" spans="1:11" ht="25.5">
      <c r="A143" s="15">
        <f t="shared" si="4"/>
        <v>141</v>
      </c>
      <c r="B143" s="6" t="s">
        <v>9</v>
      </c>
      <c r="C143" s="23">
        <v>46204</v>
      </c>
      <c r="D143" s="11" t="s">
        <v>225</v>
      </c>
      <c r="E143" s="5" t="s">
        <v>217</v>
      </c>
      <c r="F143" s="6" t="s">
        <v>91</v>
      </c>
      <c r="G143" s="6"/>
      <c r="H143" s="32">
        <v>46224</v>
      </c>
      <c r="I143" s="7"/>
      <c r="J143" s="8" t="s">
        <v>6</v>
      </c>
      <c r="K143" s="28"/>
    </row>
    <row r="144" spans="1:11" ht="25.5">
      <c r="A144" s="15">
        <f t="shared" si="4"/>
        <v>142</v>
      </c>
      <c r="B144" s="6" t="s">
        <v>9</v>
      </c>
      <c r="C144" s="23">
        <v>46204</v>
      </c>
      <c r="D144" s="11" t="s">
        <v>225</v>
      </c>
      <c r="E144" s="5" t="s">
        <v>218</v>
      </c>
      <c r="F144" s="6" t="s">
        <v>91</v>
      </c>
      <c r="G144" s="6"/>
      <c r="H144" s="32">
        <v>46224</v>
      </c>
      <c r="I144" s="7"/>
      <c r="J144" s="8" t="s">
        <v>6</v>
      </c>
      <c r="K144" s="28"/>
    </row>
    <row r="145" spans="1:11" ht="25.5">
      <c r="A145" s="15">
        <f t="shared" si="4"/>
        <v>143</v>
      </c>
      <c r="B145" s="6" t="s">
        <v>9</v>
      </c>
      <c r="C145" s="23">
        <v>46204</v>
      </c>
      <c r="D145" s="11" t="s">
        <v>225</v>
      </c>
      <c r="E145" s="5" t="s">
        <v>219</v>
      </c>
      <c r="F145" s="6" t="s">
        <v>91</v>
      </c>
      <c r="G145" s="6"/>
      <c r="H145" s="32">
        <v>46224</v>
      </c>
      <c r="I145" s="7"/>
      <c r="J145" s="8" t="s">
        <v>6</v>
      </c>
      <c r="K145" s="28"/>
    </row>
    <row r="146" spans="1:11" ht="25.5">
      <c r="A146" s="15">
        <f t="shared" si="4"/>
        <v>144</v>
      </c>
      <c r="B146" s="6" t="s">
        <v>9</v>
      </c>
      <c r="C146" s="23">
        <v>46204</v>
      </c>
      <c r="D146" s="11" t="s">
        <v>225</v>
      </c>
      <c r="E146" s="5" t="s">
        <v>220</v>
      </c>
      <c r="F146" s="6" t="s">
        <v>91</v>
      </c>
      <c r="G146" s="6"/>
      <c r="H146" s="32">
        <v>46224</v>
      </c>
      <c r="I146" s="7"/>
      <c r="J146" s="8" t="s">
        <v>6</v>
      </c>
      <c r="K146" s="28"/>
    </row>
    <row r="147" spans="1:11" ht="25.5">
      <c r="A147" s="15">
        <f t="shared" si="4"/>
        <v>145</v>
      </c>
      <c r="B147" s="6" t="s">
        <v>9</v>
      </c>
      <c r="C147" s="23">
        <v>46204</v>
      </c>
      <c r="D147" s="11" t="s">
        <v>225</v>
      </c>
      <c r="E147" s="5" t="s">
        <v>221</v>
      </c>
      <c r="F147" s="6" t="s">
        <v>91</v>
      </c>
      <c r="G147" s="6"/>
      <c r="H147" s="32">
        <v>46224</v>
      </c>
      <c r="I147" s="7"/>
      <c r="J147" s="8" t="s">
        <v>6</v>
      </c>
      <c r="K147" s="28"/>
    </row>
    <row r="148" spans="1:11" ht="25.5">
      <c r="A148" s="15">
        <f t="shared" si="4"/>
        <v>146</v>
      </c>
      <c r="B148" s="6" t="s">
        <v>9</v>
      </c>
      <c r="C148" s="23">
        <v>46204</v>
      </c>
      <c r="D148" s="11" t="s">
        <v>226</v>
      </c>
      <c r="E148" s="5" t="s">
        <v>215</v>
      </c>
      <c r="F148" s="6" t="s">
        <v>91</v>
      </c>
      <c r="G148" s="6"/>
      <c r="H148" s="32">
        <v>46224</v>
      </c>
      <c r="I148" s="7"/>
      <c r="J148" s="8" t="s">
        <v>6</v>
      </c>
      <c r="K148" s="28"/>
    </row>
    <row r="149" spans="1:11" ht="25.5">
      <c r="A149" s="15">
        <f t="shared" si="4"/>
        <v>147</v>
      </c>
      <c r="B149" s="6" t="s">
        <v>9</v>
      </c>
      <c r="C149" s="23">
        <v>46204</v>
      </c>
      <c r="D149" s="11" t="s">
        <v>226</v>
      </c>
      <c r="E149" s="5" t="s">
        <v>217</v>
      </c>
      <c r="F149" s="6" t="s">
        <v>91</v>
      </c>
      <c r="G149" s="6"/>
      <c r="H149" s="32">
        <v>46224</v>
      </c>
      <c r="I149" s="7"/>
      <c r="J149" s="8" t="s">
        <v>6</v>
      </c>
      <c r="K149" s="28"/>
    </row>
    <row r="150" spans="1:11" ht="25.5">
      <c r="A150" s="15">
        <f t="shared" si="4"/>
        <v>148</v>
      </c>
      <c r="B150" s="6" t="s">
        <v>9</v>
      </c>
      <c r="C150" s="23">
        <v>46204</v>
      </c>
      <c r="D150" s="11" t="s">
        <v>226</v>
      </c>
      <c r="E150" s="5" t="s">
        <v>218</v>
      </c>
      <c r="F150" s="6" t="s">
        <v>91</v>
      </c>
      <c r="G150" s="6"/>
      <c r="H150" s="32">
        <v>46224</v>
      </c>
      <c r="I150" s="7"/>
      <c r="J150" s="8" t="s">
        <v>6</v>
      </c>
      <c r="K150" s="28"/>
    </row>
    <row r="151" spans="1:11" ht="25.5">
      <c r="A151" s="15">
        <f t="shared" si="4"/>
        <v>149</v>
      </c>
      <c r="B151" s="6" t="s">
        <v>9</v>
      </c>
      <c r="C151" s="23">
        <v>46204</v>
      </c>
      <c r="D151" s="11" t="s">
        <v>226</v>
      </c>
      <c r="E151" s="5" t="s">
        <v>219</v>
      </c>
      <c r="F151" s="6" t="s">
        <v>91</v>
      </c>
      <c r="G151" s="6"/>
      <c r="H151" s="32">
        <v>46224</v>
      </c>
      <c r="I151" s="7"/>
      <c r="J151" s="8" t="s">
        <v>6</v>
      </c>
      <c r="K151" s="28"/>
    </row>
    <row r="152" spans="1:11" ht="25.5">
      <c r="A152" s="15">
        <f t="shared" si="4"/>
        <v>150</v>
      </c>
      <c r="B152" s="6" t="s">
        <v>9</v>
      </c>
      <c r="C152" s="23">
        <v>46204</v>
      </c>
      <c r="D152" s="11" t="s">
        <v>226</v>
      </c>
      <c r="E152" s="5" t="s">
        <v>220</v>
      </c>
      <c r="F152" s="6" t="s">
        <v>91</v>
      </c>
      <c r="G152" s="6"/>
      <c r="H152" s="32">
        <v>46224</v>
      </c>
      <c r="I152" s="7"/>
      <c r="J152" s="8" t="s">
        <v>6</v>
      </c>
      <c r="K152" s="28"/>
    </row>
    <row r="153" spans="1:11" ht="25.5">
      <c r="A153" s="15">
        <f t="shared" si="4"/>
        <v>151</v>
      </c>
      <c r="B153" s="6" t="s">
        <v>9</v>
      </c>
      <c r="C153" s="23">
        <v>46204</v>
      </c>
      <c r="D153" s="11" t="s">
        <v>226</v>
      </c>
      <c r="E153" s="5" t="s">
        <v>221</v>
      </c>
      <c r="F153" s="6" t="s">
        <v>91</v>
      </c>
      <c r="G153" s="6"/>
      <c r="H153" s="32">
        <v>46224</v>
      </c>
      <c r="I153" s="7"/>
      <c r="J153" s="8" t="s">
        <v>6</v>
      </c>
      <c r="K153" s="28"/>
    </row>
    <row r="154" spans="1:11" ht="25.5">
      <c r="A154" s="15">
        <f t="shared" si="4"/>
        <v>152</v>
      </c>
      <c r="B154" s="6" t="s">
        <v>9</v>
      </c>
      <c r="C154" s="23">
        <v>46204</v>
      </c>
      <c r="D154" s="11" t="s">
        <v>227</v>
      </c>
      <c r="E154" s="5" t="s">
        <v>215</v>
      </c>
      <c r="F154" s="6" t="s">
        <v>91</v>
      </c>
      <c r="G154" s="6"/>
      <c r="H154" s="32">
        <v>46224</v>
      </c>
      <c r="I154" s="7"/>
      <c r="J154" s="8" t="s">
        <v>6</v>
      </c>
      <c r="K154" s="28"/>
    </row>
    <row r="155" spans="1:11" ht="25.5">
      <c r="A155" s="15">
        <f t="shared" si="4"/>
        <v>153</v>
      </c>
      <c r="B155" s="6" t="s">
        <v>9</v>
      </c>
      <c r="C155" s="23">
        <v>46204</v>
      </c>
      <c r="D155" s="11" t="s">
        <v>227</v>
      </c>
      <c r="E155" s="5" t="s">
        <v>217</v>
      </c>
      <c r="F155" s="6" t="s">
        <v>91</v>
      </c>
      <c r="G155" s="6"/>
      <c r="H155" s="32">
        <v>46224</v>
      </c>
      <c r="I155" s="7"/>
      <c r="J155" s="8" t="s">
        <v>6</v>
      </c>
      <c r="K155" s="28"/>
    </row>
    <row r="156" spans="1:11" ht="25.5">
      <c r="A156" s="15">
        <f t="shared" si="4"/>
        <v>154</v>
      </c>
      <c r="B156" s="6" t="s">
        <v>9</v>
      </c>
      <c r="C156" s="23">
        <v>46204</v>
      </c>
      <c r="D156" s="11" t="s">
        <v>227</v>
      </c>
      <c r="E156" s="5" t="s">
        <v>218</v>
      </c>
      <c r="F156" s="6" t="s">
        <v>91</v>
      </c>
      <c r="G156" s="6"/>
      <c r="H156" s="32">
        <v>46224</v>
      </c>
      <c r="I156" s="7"/>
      <c r="J156" s="8" t="s">
        <v>6</v>
      </c>
      <c r="K156" s="28"/>
    </row>
    <row r="157" spans="1:11" ht="25.5">
      <c r="A157" s="15">
        <f t="shared" si="4"/>
        <v>155</v>
      </c>
      <c r="B157" s="6" t="s">
        <v>9</v>
      </c>
      <c r="C157" s="23">
        <v>46204</v>
      </c>
      <c r="D157" s="11" t="s">
        <v>227</v>
      </c>
      <c r="E157" s="5" t="s">
        <v>219</v>
      </c>
      <c r="F157" s="6" t="s">
        <v>91</v>
      </c>
      <c r="G157" s="6"/>
      <c r="H157" s="32">
        <v>46224</v>
      </c>
      <c r="I157" s="7"/>
      <c r="J157" s="8" t="s">
        <v>6</v>
      </c>
      <c r="K157" s="28"/>
    </row>
    <row r="158" spans="1:11" ht="25.5">
      <c r="A158" s="15">
        <f t="shared" si="4"/>
        <v>156</v>
      </c>
      <c r="B158" s="6" t="s">
        <v>9</v>
      </c>
      <c r="C158" s="23">
        <v>46204</v>
      </c>
      <c r="D158" s="11" t="s">
        <v>227</v>
      </c>
      <c r="E158" s="5" t="s">
        <v>220</v>
      </c>
      <c r="F158" s="6" t="s">
        <v>91</v>
      </c>
      <c r="G158" s="6"/>
      <c r="H158" s="32">
        <v>46224</v>
      </c>
      <c r="I158" s="7"/>
      <c r="J158" s="8" t="s">
        <v>6</v>
      </c>
      <c r="K158" s="28"/>
    </row>
    <row r="159" spans="1:11" ht="25.5">
      <c r="A159" s="15">
        <f t="shared" si="4"/>
        <v>157</v>
      </c>
      <c r="B159" s="6" t="s">
        <v>9</v>
      </c>
      <c r="C159" s="23">
        <v>46204</v>
      </c>
      <c r="D159" s="11" t="s">
        <v>227</v>
      </c>
      <c r="E159" s="5" t="s">
        <v>221</v>
      </c>
      <c r="F159" s="6" t="s">
        <v>91</v>
      </c>
      <c r="G159" s="6"/>
      <c r="H159" s="32">
        <v>46224</v>
      </c>
      <c r="I159" s="7"/>
      <c r="J159" s="8" t="s">
        <v>6</v>
      </c>
      <c r="K159" s="28"/>
    </row>
    <row r="160" spans="1:11" ht="25.5">
      <c r="A160" s="15">
        <f t="shared" si="4"/>
        <v>158</v>
      </c>
      <c r="B160" s="6" t="s">
        <v>9</v>
      </c>
      <c r="C160" s="23">
        <v>46204</v>
      </c>
      <c r="D160" s="11" t="s">
        <v>228</v>
      </c>
      <c r="E160" s="5" t="s">
        <v>215</v>
      </c>
      <c r="F160" s="6" t="s">
        <v>91</v>
      </c>
      <c r="G160" s="6"/>
      <c r="H160" s="32">
        <v>46224</v>
      </c>
      <c r="I160" s="7"/>
      <c r="J160" s="8" t="s">
        <v>6</v>
      </c>
      <c r="K160" s="28"/>
    </row>
    <row r="161" spans="1:11" ht="25.5">
      <c r="A161" s="15">
        <f t="shared" si="4"/>
        <v>159</v>
      </c>
      <c r="B161" s="6" t="s">
        <v>9</v>
      </c>
      <c r="C161" s="23">
        <v>46204</v>
      </c>
      <c r="D161" s="11" t="s">
        <v>228</v>
      </c>
      <c r="E161" s="5" t="s">
        <v>217</v>
      </c>
      <c r="F161" s="6" t="s">
        <v>91</v>
      </c>
      <c r="G161" s="6"/>
      <c r="H161" s="32">
        <v>46224</v>
      </c>
      <c r="I161" s="7"/>
      <c r="J161" s="8" t="s">
        <v>6</v>
      </c>
      <c r="K161" s="28"/>
    </row>
    <row r="162" spans="1:11" ht="25.5">
      <c r="A162" s="15">
        <f t="shared" si="4"/>
        <v>160</v>
      </c>
      <c r="B162" s="6" t="s">
        <v>9</v>
      </c>
      <c r="C162" s="23">
        <v>46204</v>
      </c>
      <c r="D162" s="11" t="s">
        <v>228</v>
      </c>
      <c r="E162" s="5" t="s">
        <v>218</v>
      </c>
      <c r="F162" s="6" t="s">
        <v>91</v>
      </c>
      <c r="G162" s="6"/>
      <c r="H162" s="32">
        <v>46224</v>
      </c>
      <c r="I162" s="7"/>
      <c r="J162" s="8" t="s">
        <v>6</v>
      </c>
      <c r="K162" s="28"/>
    </row>
    <row r="163" spans="1:11" ht="25.5">
      <c r="A163" s="15">
        <f t="shared" si="4"/>
        <v>161</v>
      </c>
      <c r="B163" s="6" t="s">
        <v>9</v>
      </c>
      <c r="C163" s="23">
        <v>46204</v>
      </c>
      <c r="D163" s="11" t="s">
        <v>228</v>
      </c>
      <c r="E163" s="5" t="s">
        <v>219</v>
      </c>
      <c r="F163" s="6" t="s">
        <v>91</v>
      </c>
      <c r="G163" s="6"/>
      <c r="H163" s="32">
        <v>46224</v>
      </c>
      <c r="I163" s="7"/>
      <c r="J163" s="8" t="s">
        <v>6</v>
      </c>
      <c r="K163" s="28"/>
    </row>
    <row r="164" spans="1:11" ht="25.5">
      <c r="A164" s="15">
        <f t="shared" si="4"/>
        <v>162</v>
      </c>
      <c r="B164" s="6" t="s">
        <v>9</v>
      </c>
      <c r="C164" s="23">
        <v>46204</v>
      </c>
      <c r="D164" s="11" t="s">
        <v>228</v>
      </c>
      <c r="E164" s="5" t="s">
        <v>220</v>
      </c>
      <c r="F164" s="6" t="s">
        <v>91</v>
      </c>
      <c r="H164" s="32">
        <v>46224</v>
      </c>
      <c r="I164" s="7"/>
      <c r="J164" s="8" t="s">
        <v>6</v>
      </c>
    </row>
    <row r="165" spans="1:11" ht="25.5">
      <c r="A165" s="15">
        <f t="shared" si="4"/>
        <v>163</v>
      </c>
      <c r="B165" s="6" t="s">
        <v>9</v>
      </c>
      <c r="C165" s="23">
        <v>46204</v>
      </c>
      <c r="D165" s="11" t="s">
        <v>228</v>
      </c>
      <c r="E165" s="5" t="s">
        <v>221</v>
      </c>
      <c r="F165" s="6" t="s">
        <v>91</v>
      </c>
      <c r="G165" s="6"/>
      <c r="H165" s="32">
        <v>46224</v>
      </c>
      <c r="I165" s="7"/>
      <c r="J165" s="8" t="s">
        <v>6</v>
      </c>
      <c r="K165" s="28"/>
    </row>
    <row r="166" spans="1:11" ht="25.5">
      <c r="A166" s="15">
        <f t="shared" si="4"/>
        <v>164</v>
      </c>
      <c r="B166" s="6" t="s">
        <v>9</v>
      </c>
      <c r="C166" s="23">
        <v>46204</v>
      </c>
      <c r="D166" s="11" t="s">
        <v>229</v>
      </c>
      <c r="E166" s="5" t="s">
        <v>215</v>
      </c>
      <c r="F166" s="6" t="s">
        <v>91</v>
      </c>
      <c r="G166" s="6"/>
      <c r="H166" s="32">
        <v>46224</v>
      </c>
      <c r="I166" s="7"/>
      <c r="J166" s="8" t="s">
        <v>6</v>
      </c>
      <c r="K166" s="28"/>
    </row>
    <row r="167" spans="1:11" ht="25.5">
      <c r="A167" s="15">
        <f t="shared" si="4"/>
        <v>165</v>
      </c>
      <c r="B167" s="6" t="s">
        <v>9</v>
      </c>
      <c r="C167" s="23">
        <v>46204</v>
      </c>
      <c r="D167" s="11" t="s">
        <v>229</v>
      </c>
      <c r="E167" s="5" t="s">
        <v>217</v>
      </c>
      <c r="F167" s="6" t="s">
        <v>91</v>
      </c>
      <c r="G167" s="6"/>
      <c r="H167" s="32">
        <v>46224</v>
      </c>
      <c r="I167" s="7"/>
      <c r="J167" s="8" t="s">
        <v>6</v>
      </c>
      <c r="K167" s="28"/>
    </row>
    <row r="168" spans="1:11" ht="25.5">
      <c r="A168" s="15">
        <f t="shared" si="4"/>
        <v>166</v>
      </c>
      <c r="B168" s="6" t="s">
        <v>9</v>
      </c>
      <c r="C168" s="23">
        <v>46204</v>
      </c>
      <c r="D168" s="11" t="s">
        <v>229</v>
      </c>
      <c r="E168" s="5" t="s">
        <v>218</v>
      </c>
      <c r="F168" s="6" t="s">
        <v>91</v>
      </c>
      <c r="G168" s="6"/>
      <c r="H168" s="32">
        <v>46224</v>
      </c>
      <c r="I168" s="7"/>
      <c r="J168" s="8" t="s">
        <v>6</v>
      </c>
      <c r="K168" s="28"/>
    </row>
    <row r="169" spans="1:11" ht="25.5">
      <c r="A169" s="15">
        <f t="shared" si="4"/>
        <v>167</v>
      </c>
      <c r="B169" s="6" t="s">
        <v>9</v>
      </c>
      <c r="C169" s="23">
        <v>46204</v>
      </c>
      <c r="D169" s="11" t="s">
        <v>229</v>
      </c>
      <c r="E169" s="5" t="s">
        <v>219</v>
      </c>
      <c r="F169" s="6" t="s">
        <v>91</v>
      </c>
      <c r="G169" s="6"/>
      <c r="H169" s="32">
        <v>46224</v>
      </c>
      <c r="I169" s="7"/>
      <c r="J169" s="8" t="s">
        <v>6</v>
      </c>
      <c r="K169" s="28"/>
    </row>
    <row r="170" spans="1:11" ht="25.5">
      <c r="A170" s="15">
        <f t="shared" si="4"/>
        <v>168</v>
      </c>
      <c r="B170" s="6" t="s">
        <v>9</v>
      </c>
      <c r="C170" s="23">
        <v>46204</v>
      </c>
      <c r="D170" s="11" t="s">
        <v>229</v>
      </c>
      <c r="E170" s="5" t="s">
        <v>220</v>
      </c>
      <c r="F170" s="6" t="s">
        <v>91</v>
      </c>
      <c r="G170" s="6"/>
      <c r="H170" s="32">
        <v>46224</v>
      </c>
      <c r="I170" s="7"/>
      <c r="J170" s="8" t="s">
        <v>6</v>
      </c>
      <c r="K170" s="28"/>
    </row>
    <row r="171" spans="1:11" ht="25.5">
      <c r="A171" s="15">
        <f t="shared" si="4"/>
        <v>169</v>
      </c>
      <c r="B171" s="6" t="s">
        <v>9</v>
      </c>
      <c r="C171" s="23">
        <v>46204</v>
      </c>
      <c r="D171" s="11" t="s">
        <v>229</v>
      </c>
      <c r="E171" s="5" t="s">
        <v>221</v>
      </c>
      <c r="F171" s="6" t="s">
        <v>91</v>
      </c>
      <c r="G171" s="6"/>
      <c r="H171" s="32">
        <v>46224</v>
      </c>
      <c r="I171" s="7"/>
      <c r="J171" s="8" t="s">
        <v>6</v>
      </c>
      <c r="K171" s="28"/>
    </row>
    <row r="172" spans="1:11" ht="25.5">
      <c r="A172" s="15">
        <f t="shared" si="4"/>
        <v>170</v>
      </c>
      <c r="B172" s="6" t="s">
        <v>9</v>
      </c>
      <c r="C172" s="23">
        <v>46204</v>
      </c>
      <c r="D172" s="11" t="s">
        <v>230</v>
      </c>
      <c r="E172" s="5" t="s">
        <v>215</v>
      </c>
      <c r="F172" s="6" t="s">
        <v>91</v>
      </c>
      <c r="G172" s="6"/>
      <c r="H172" s="32">
        <v>46224</v>
      </c>
      <c r="I172" s="7"/>
      <c r="J172" s="8" t="s">
        <v>6</v>
      </c>
      <c r="K172" s="28"/>
    </row>
    <row r="173" spans="1:11" ht="25.5">
      <c r="A173" s="15">
        <f t="shared" si="4"/>
        <v>171</v>
      </c>
      <c r="B173" s="6" t="s">
        <v>9</v>
      </c>
      <c r="C173" s="23">
        <v>46204</v>
      </c>
      <c r="D173" s="11" t="s">
        <v>230</v>
      </c>
      <c r="E173" s="5" t="s">
        <v>217</v>
      </c>
      <c r="F173" s="6" t="s">
        <v>91</v>
      </c>
      <c r="G173" s="6"/>
      <c r="H173" s="32">
        <v>46224</v>
      </c>
      <c r="I173" s="7"/>
      <c r="J173" s="8" t="s">
        <v>6</v>
      </c>
      <c r="K173" s="28"/>
    </row>
    <row r="174" spans="1:11" ht="25.5">
      <c r="A174" s="15">
        <f t="shared" si="4"/>
        <v>172</v>
      </c>
      <c r="B174" s="6" t="s">
        <v>9</v>
      </c>
      <c r="C174" s="23">
        <v>46204</v>
      </c>
      <c r="D174" s="11" t="s">
        <v>230</v>
      </c>
      <c r="E174" s="5" t="s">
        <v>218</v>
      </c>
      <c r="F174" s="6" t="s">
        <v>91</v>
      </c>
      <c r="G174" s="6"/>
      <c r="H174" s="32">
        <v>46224</v>
      </c>
      <c r="I174" s="7"/>
      <c r="J174" s="8" t="s">
        <v>6</v>
      </c>
      <c r="K174" s="28"/>
    </row>
    <row r="175" spans="1:11" ht="25.5">
      <c r="A175" s="15">
        <f t="shared" si="4"/>
        <v>173</v>
      </c>
      <c r="B175" s="6" t="s">
        <v>9</v>
      </c>
      <c r="C175" s="23">
        <v>46204</v>
      </c>
      <c r="D175" s="11" t="s">
        <v>230</v>
      </c>
      <c r="E175" s="5" t="s">
        <v>219</v>
      </c>
      <c r="F175" s="6" t="s">
        <v>91</v>
      </c>
      <c r="G175" s="6"/>
      <c r="H175" s="32">
        <v>46224</v>
      </c>
      <c r="I175" s="7"/>
      <c r="J175" s="8" t="s">
        <v>6</v>
      </c>
      <c r="K175" s="28"/>
    </row>
    <row r="176" spans="1:11" ht="25.5">
      <c r="A176" s="15">
        <f t="shared" si="4"/>
        <v>174</v>
      </c>
      <c r="B176" s="6" t="s">
        <v>9</v>
      </c>
      <c r="C176" s="23">
        <v>46204</v>
      </c>
      <c r="D176" s="11" t="s">
        <v>230</v>
      </c>
      <c r="E176" s="5" t="s">
        <v>220</v>
      </c>
      <c r="F176" s="6" t="s">
        <v>91</v>
      </c>
      <c r="G176" s="6"/>
      <c r="H176" s="32">
        <v>46224</v>
      </c>
      <c r="I176" s="7"/>
      <c r="J176" s="8" t="s">
        <v>6</v>
      </c>
      <c r="K176" s="28"/>
    </row>
    <row r="177" spans="1:11" ht="25.5">
      <c r="A177" s="15">
        <f t="shared" si="4"/>
        <v>175</v>
      </c>
      <c r="B177" s="6" t="s">
        <v>9</v>
      </c>
      <c r="C177" s="23">
        <v>46204</v>
      </c>
      <c r="D177" s="11" t="s">
        <v>230</v>
      </c>
      <c r="E177" s="5" t="s">
        <v>221</v>
      </c>
      <c r="F177" s="6" t="s">
        <v>91</v>
      </c>
      <c r="G177" s="6"/>
      <c r="H177" s="32">
        <v>46224</v>
      </c>
      <c r="I177" s="7"/>
      <c r="J177" s="8" t="s">
        <v>6</v>
      </c>
      <c r="K177" s="28"/>
    </row>
    <row r="178" spans="1:11" ht="140.25">
      <c r="A178" s="15">
        <f t="shared" si="4"/>
        <v>176</v>
      </c>
      <c r="B178" s="6" t="s">
        <v>10</v>
      </c>
      <c r="C178" s="23">
        <v>46204</v>
      </c>
      <c r="D178" s="11" t="s">
        <v>184</v>
      </c>
      <c r="E178" s="5" t="s">
        <v>231</v>
      </c>
      <c r="F178" s="6" t="s">
        <v>91</v>
      </c>
      <c r="G178" s="6"/>
      <c r="H178" s="32">
        <v>46225</v>
      </c>
      <c r="I178" s="7">
        <v>46230</v>
      </c>
      <c r="J178" s="8" t="s">
        <v>5</v>
      </c>
      <c r="K178" s="28"/>
    </row>
    <row r="179" spans="1:11">
      <c r="A179" s="15">
        <f t="shared" ref="A179:A242" si="5">A178+1</f>
        <v>177</v>
      </c>
      <c r="B179" s="6" t="s">
        <v>11</v>
      </c>
      <c r="C179" s="10">
        <v>46235</v>
      </c>
      <c r="D179" s="11" t="s">
        <v>184</v>
      </c>
      <c r="E179" s="5" t="s">
        <v>232</v>
      </c>
      <c r="F179" s="6" t="s">
        <v>91</v>
      </c>
      <c r="G179" s="6"/>
      <c r="H179" s="32">
        <v>46231</v>
      </c>
      <c r="I179" s="7"/>
      <c r="J179" s="8" t="s">
        <v>4</v>
      </c>
      <c r="K179" s="28"/>
    </row>
    <row r="180" spans="1:11" ht="153">
      <c r="A180" s="15">
        <f t="shared" si="5"/>
        <v>178</v>
      </c>
      <c r="B180" s="6" t="s">
        <v>22</v>
      </c>
      <c r="C180" s="23">
        <v>46204</v>
      </c>
      <c r="D180" s="11" t="s">
        <v>174</v>
      </c>
      <c r="E180" s="5" t="s">
        <v>233</v>
      </c>
      <c r="F180" s="6" t="s">
        <v>91</v>
      </c>
      <c r="G180" s="6"/>
      <c r="H180" s="32">
        <v>46231</v>
      </c>
      <c r="I180" s="7"/>
      <c r="J180" s="8" t="s">
        <v>4</v>
      </c>
      <c r="K180" s="28"/>
    </row>
    <row r="181" spans="1:11" ht="63.75">
      <c r="A181" s="15">
        <f t="shared" si="5"/>
        <v>179</v>
      </c>
      <c r="B181" s="6" t="s">
        <v>22</v>
      </c>
      <c r="C181" s="23">
        <v>46204</v>
      </c>
      <c r="D181" s="11" t="s">
        <v>174</v>
      </c>
      <c r="E181" s="5" t="s">
        <v>234</v>
      </c>
      <c r="F181" s="6" t="s">
        <v>91</v>
      </c>
      <c r="G181" s="6"/>
      <c r="H181" s="32">
        <v>46231</v>
      </c>
      <c r="I181" s="7"/>
      <c r="J181" s="8" t="s">
        <v>4</v>
      </c>
      <c r="K181" s="28"/>
    </row>
    <row r="182" spans="1:11">
      <c r="A182" s="15">
        <f t="shared" si="5"/>
        <v>180</v>
      </c>
      <c r="B182" s="6" t="s">
        <v>24</v>
      </c>
      <c r="C182" s="23">
        <v>46204</v>
      </c>
      <c r="D182" s="11" t="s">
        <v>235</v>
      </c>
      <c r="E182" s="5" t="s">
        <v>236</v>
      </c>
      <c r="F182" s="6" t="s">
        <v>51</v>
      </c>
      <c r="G182" s="6"/>
      <c r="H182" s="32">
        <v>46231</v>
      </c>
      <c r="I182" s="7"/>
      <c r="J182" s="8" t="s">
        <v>4</v>
      </c>
      <c r="K182" s="28"/>
    </row>
    <row r="183" spans="1:11">
      <c r="A183" s="15">
        <f t="shared" si="5"/>
        <v>181</v>
      </c>
      <c r="B183" s="6" t="s">
        <v>24</v>
      </c>
      <c r="C183" s="23">
        <v>46204</v>
      </c>
      <c r="D183" s="11" t="s">
        <v>235</v>
      </c>
      <c r="E183" s="5" t="s">
        <v>237</v>
      </c>
      <c r="F183" s="6" t="s">
        <v>51</v>
      </c>
      <c r="G183" s="6"/>
      <c r="H183" s="32">
        <v>46233</v>
      </c>
      <c r="I183" s="7"/>
      <c r="J183" s="8" t="s">
        <v>4</v>
      </c>
      <c r="K183" s="28"/>
    </row>
    <row r="184" spans="1:11">
      <c r="A184" s="15">
        <f t="shared" si="5"/>
        <v>182</v>
      </c>
      <c r="B184" s="6" t="s">
        <v>22</v>
      </c>
      <c r="C184" s="23">
        <v>46204</v>
      </c>
      <c r="D184" s="11" t="s">
        <v>174</v>
      </c>
      <c r="E184" s="5" t="s">
        <v>238</v>
      </c>
      <c r="F184" s="6" t="s">
        <v>51</v>
      </c>
      <c r="G184" s="6"/>
      <c r="H184" s="32">
        <v>46233</v>
      </c>
      <c r="I184" s="7"/>
      <c r="J184" s="8" t="s">
        <v>4</v>
      </c>
      <c r="K184" s="28"/>
    </row>
    <row r="185" spans="1:11">
      <c r="A185" s="15">
        <f t="shared" si="5"/>
        <v>183</v>
      </c>
      <c r="B185" s="6" t="s">
        <v>16</v>
      </c>
      <c r="C185" s="10" t="s">
        <v>186</v>
      </c>
      <c r="D185" s="11" t="s">
        <v>155</v>
      </c>
      <c r="E185" s="5" t="s">
        <v>239</v>
      </c>
      <c r="F185" s="6" t="s">
        <v>157</v>
      </c>
      <c r="G185" s="6"/>
      <c r="H185" s="32" t="s">
        <v>240</v>
      </c>
      <c r="I185" s="7">
        <v>46233</v>
      </c>
      <c r="J185" s="8" t="s">
        <v>5</v>
      </c>
      <c r="K185" s="28"/>
    </row>
    <row r="186" spans="1:11">
      <c r="A186" s="15">
        <f t="shared" si="5"/>
        <v>184</v>
      </c>
      <c r="B186" s="6" t="s">
        <v>16</v>
      </c>
      <c r="C186" s="10" t="s">
        <v>186</v>
      </c>
      <c r="D186" s="11" t="s">
        <v>139</v>
      </c>
      <c r="E186" s="5" t="s">
        <v>241</v>
      </c>
      <c r="F186" s="6" t="s">
        <v>153</v>
      </c>
      <c r="G186" s="6"/>
      <c r="H186" s="32">
        <v>46233</v>
      </c>
      <c r="I186" s="7"/>
      <c r="J186" s="8" t="s">
        <v>4</v>
      </c>
      <c r="K186" s="28"/>
    </row>
    <row r="187" spans="1:11" ht="34.5">
      <c r="A187" s="15">
        <f t="shared" si="5"/>
        <v>185</v>
      </c>
      <c r="B187" s="6" t="s">
        <v>22</v>
      </c>
      <c r="C187" s="10" t="s">
        <v>186</v>
      </c>
      <c r="D187" s="11" t="s">
        <v>174</v>
      </c>
      <c r="E187" s="5" t="s">
        <v>242</v>
      </c>
      <c r="F187" s="6" t="s">
        <v>91</v>
      </c>
      <c r="G187" s="6"/>
      <c r="H187" s="32">
        <v>46233</v>
      </c>
      <c r="I187" s="7"/>
      <c r="J187" s="8" t="s">
        <v>4</v>
      </c>
      <c r="K187" s="28"/>
    </row>
    <row r="188" spans="1:11" ht="25.5">
      <c r="A188" s="15">
        <f t="shared" si="5"/>
        <v>186</v>
      </c>
      <c r="B188" s="6" t="s">
        <v>11</v>
      </c>
      <c r="C188" s="10">
        <v>46235</v>
      </c>
      <c r="D188" s="11" t="s">
        <v>107</v>
      </c>
      <c r="E188" s="5" t="s">
        <v>243</v>
      </c>
      <c r="F188" s="6" t="s">
        <v>77</v>
      </c>
      <c r="G188" s="6"/>
      <c r="H188" s="32">
        <v>46234</v>
      </c>
      <c r="I188" s="7"/>
      <c r="J188" s="8" t="s">
        <v>4</v>
      </c>
      <c r="K188" s="28"/>
    </row>
    <row r="189" spans="1:11" ht="38.25">
      <c r="A189" s="15">
        <f t="shared" si="5"/>
        <v>187</v>
      </c>
      <c r="B189" s="6" t="s">
        <v>11</v>
      </c>
      <c r="C189" s="10">
        <v>46235</v>
      </c>
      <c r="D189" s="11" t="s">
        <v>176</v>
      </c>
      <c r="E189" s="5" t="s">
        <v>244</v>
      </c>
      <c r="F189" s="6" t="s">
        <v>77</v>
      </c>
      <c r="G189" s="6"/>
      <c r="H189" s="32">
        <v>46234</v>
      </c>
      <c r="I189" s="7"/>
      <c r="J189" s="8" t="s">
        <v>4</v>
      </c>
      <c r="K189" s="28"/>
    </row>
    <row r="190" spans="1:11">
      <c r="A190" s="15">
        <f t="shared" si="5"/>
        <v>188</v>
      </c>
      <c r="B190" s="6" t="s">
        <v>15</v>
      </c>
      <c r="C190" s="10" t="s">
        <v>186</v>
      </c>
      <c r="D190" s="11" t="s">
        <v>38</v>
      </c>
      <c r="E190" s="5" t="s">
        <v>245</v>
      </c>
      <c r="F190" s="6" t="s">
        <v>61</v>
      </c>
      <c r="G190" s="6"/>
      <c r="H190" s="32">
        <v>46234</v>
      </c>
      <c r="I190" s="7"/>
      <c r="J190" s="8" t="s">
        <v>4</v>
      </c>
      <c r="K190" s="28"/>
    </row>
    <row r="191" spans="1:11">
      <c r="A191" s="15">
        <f t="shared" si="5"/>
        <v>189</v>
      </c>
      <c r="B191" s="6" t="s">
        <v>15</v>
      </c>
      <c r="C191" s="10" t="s">
        <v>186</v>
      </c>
      <c r="D191" s="11" t="s">
        <v>38</v>
      </c>
      <c r="E191" s="5" t="s">
        <v>246</v>
      </c>
      <c r="F191" s="6" t="s">
        <v>61</v>
      </c>
      <c r="G191" s="6"/>
      <c r="H191" s="32">
        <v>46234</v>
      </c>
      <c r="I191" s="7"/>
      <c r="J191" s="8" t="s">
        <v>4</v>
      </c>
      <c r="K191" s="28"/>
    </row>
    <row r="192" spans="1:11" ht="25.5">
      <c r="A192" s="15">
        <f t="shared" si="5"/>
        <v>190</v>
      </c>
      <c r="B192" s="6" t="s">
        <v>15</v>
      </c>
      <c r="C192" s="10" t="s">
        <v>186</v>
      </c>
      <c r="D192" s="11" t="s">
        <v>38</v>
      </c>
      <c r="E192" s="5" t="s">
        <v>247</v>
      </c>
      <c r="F192" s="6" t="s">
        <v>51</v>
      </c>
      <c r="G192" s="6"/>
      <c r="H192" s="32">
        <v>46234</v>
      </c>
      <c r="I192" s="7"/>
      <c r="J192" s="8" t="s">
        <v>4</v>
      </c>
      <c r="K192" s="28"/>
    </row>
    <row r="193" spans="1:11">
      <c r="A193" s="15">
        <f t="shared" si="5"/>
        <v>191</v>
      </c>
      <c r="B193" s="6" t="s">
        <v>25</v>
      </c>
      <c r="C193" s="10">
        <v>46235</v>
      </c>
      <c r="D193" s="11" t="s">
        <v>248</v>
      </c>
      <c r="E193" s="5" t="s">
        <v>249</v>
      </c>
      <c r="F193" s="6"/>
      <c r="G193" s="6"/>
      <c r="H193" s="32">
        <v>46244</v>
      </c>
      <c r="I193" s="7"/>
      <c r="J193" s="8" t="s">
        <v>6</v>
      </c>
      <c r="K193" s="28"/>
    </row>
    <row r="194" spans="1:11" ht="60">
      <c r="A194" s="15">
        <f t="shared" si="5"/>
        <v>192</v>
      </c>
      <c r="B194" s="6" t="s">
        <v>11</v>
      </c>
      <c r="C194" s="10">
        <v>46235</v>
      </c>
      <c r="D194" s="11" t="s">
        <v>184</v>
      </c>
      <c r="E194" s="5" t="s">
        <v>250</v>
      </c>
      <c r="F194" s="6" t="s">
        <v>77</v>
      </c>
      <c r="G194" s="6"/>
      <c r="H194" s="32">
        <v>46244</v>
      </c>
      <c r="I194" s="7"/>
      <c r="J194" s="8" t="s">
        <v>5</v>
      </c>
      <c r="K194" s="28"/>
    </row>
    <row r="195" spans="1:11">
      <c r="A195" s="15">
        <f t="shared" si="5"/>
        <v>193</v>
      </c>
      <c r="B195" s="6" t="s">
        <v>20</v>
      </c>
      <c r="C195" s="10">
        <v>46235</v>
      </c>
      <c r="D195" s="11" t="s">
        <v>251</v>
      </c>
      <c r="E195" s="5" t="s">
        <v>252</v>
      </c>
      <c r="F195" s="6" t="s">
        <v>251</v>
      </c>
      <c r="G195" s="6"/>
      <c r="H195" s="32">
        <v>46086</v>
      </c>
      <c r="I195" s="7">
        <v>46086</v>
      </c>
      <c r="J195" s="8" t="s">
        <v>5</v>
      </c>
      <c r="K195" s="28"/>
    </row>
    <row r="196" spans="1:11">
      <c r="A196" s="15">
        <f t="shared" si="5"/>
        <v>194</v>
      </c>
      <c r="B196" s="6" t="s">
        <v>20</v>
      </c>
      <c r="C196" s="10">
        <v>46235</v>
      </c>
      <c r="D196" s="11" t="s">
        <v>165</v>
      </c>
      <c r="E196" s="5" t="s">
        <v>253</v>
      </c>
      <c r="F196" s="6" t="s">
        <v>254</v>
      </c>
      <c r="G196" s="6"/>
      <c r="H196" s="32">
        <v>46086</v>
      </c>
      <c r="I196" s="7">
        <v>46086</v>
      </c>
      <c r="J196" s="8" t="s">
        <v>5</v>
      </c>
      <c r="K196" s="28"/>
    </row>
    <row r="197" spans="1:11">
      <c r="A197" s="15">
        <f t="shared" si="5"/>
        <v>195</v>
      </c>
      <c r="B197" s="6" t="s">
        <v>20</v>
      </c>
      <c r="C197" s="10">
        <v>46235</v>
      </c>
      <c r="D197" s="11" t="s">
        <v>165</v>
      </c>
      <c r="E197" s="5" t="s">
        <v>255</v>
      </c>
      <c r="F197" s="6" t="s">
        <v>69</v>
      </c>
      <c r="G197" s="6"/>
      <c r="H197" s="32">
        <v>46086</v>
      </c>
      <c r="I197" s="7">
        <v>46086</v>
      </c>
      <c r="J197" s="8" t="s">
        <v>5</v>
      </c>
      <c r="K197" s="28" t="s">
        <v>256</v>
      </c>
    </row>
    <row r="198" spans="1:11">
      <c r="A198" s="15">
        <f t="shared" si="5"/>
        <v>196</v>
      </c>
      <c r="B198" s="6" t="s">
        <v>20</v>
      </c>
      <c r="C198" s="10">
        <v>46235</v>
      </c>
      <c r="D198" s="11" t="s">
        <v>251</v>
      </c>
      <c r="E198" s="5" t="s">
        <v>257</v>
      </c>
      <c r="F198" s="6" t="s">
        <v>51</v>
      </c>
      <c r="G198" s="6"/>
      <c r="H198" s="32">
        <v>46086</v>
      </c>
      <c r="I198" s="7">
        <v>46086</v>
      </c>
      <c r="J198" s="8" t="s">
        <v>5</v>
      </c>
      <c r="K198" s="28" t="s">
        <v>258</v>
      </c>
    </row>
    <row r="199" spans="1:11">
      <c r="A199" s="15">
        <f t="shared" si="5"/>
        <v>197</v>
      </c>
      <c r="B199" s="6" t="s">
        <v>20</v>
      </c>
      <c r="C199" s="10">
        <v>46235</v>
      </c>
      <c r="D199" s="11" t="s">
        <v>165</v>
      </c>
      <c r="E199" s="5" t="s">
        <v>259</v>
      </c>
      <c r="F199" s="6" t="s">
        <v>51</v>
      </c>
      <c r="G199" s="6"/>
      <c r="H199" s="32">
        <v>46086</v>
      </c>
      <c r="I199" s="7">
        <v>46086</v>
      </c>
      <c r="J199" s="8" t="s">
        <v>5</v>
      </c>
      <c r="K199" s="28"/>
    </row>
    <row r="200" spans="1:11">
      <c r="A200" s="15">
        <f t="shared" si="5"/>
        <v>198</v>
      </c>
      <c r="B200" s="6" t="s">
        <v>20</v>
      </c>
      <c r="C200" s="10">
        <v>46235</v>
      </c>
      <c r="D200" s="11" t="s">
        <v>251</v>
      </c>
      <c r="E200" s="5" t="s">
        <v>260</v>
      </c>
      <c r="F200" s="6" t="s">
        <v>251</v>
      </c>
      <c r="G200" s="6"/>
      <c r="H200" s="32">
        <v>46086</v>
      </c>
      <c r="I200" s="7"/>
      <c r="J200" s="8" t="s">
        <v>4</v>
      </c>
      <c r="K200" s="28"/>
    </row>
    <row r="201" spans="1:11">
      <c r="A201" s="15">
        <f t="shared" si="5"/>
        <v>199</v>
      </c>
      <c r="B201" s="6" t="s">
        <v>18</v>
      </c>
      <c r="C201" s="10">
        <v>46235</v>
      </c>
      <c r="D201" s="11" t="s">
        <v>165</v>
      </c>
      <c r="E201" s="5" t="s">
        <v>253</v>
      </c>
      <c r="F201" s="6" t="s">
        <v>254</v>
      </c>
      <c r="G201" s="6"/>
      <c r="H201" s="32">
        <v>46078</v>
      </c>
      <c r="I201" s="7">
        <v>46078</v>
      </c>
      <c r="J201" s="8" t="s">
        <v>5</v>
      </c>
      <c r="K201" s="28"/>
    </row>
    <row r="202" spans="1:11" ht="25.5">
      <c r="A202" s="15">
        <f t="shared" si="5"/>
        <v>200</v>
      </c>
      <c r="B202" s="6" t="s">
        <v>18</v>
      </c>
      <c r="C202" s="10">
        <v>46235</v>
      </c>
      <c r="D202" s="11" t="s">
        <v>165</v>
      </c>
      <c r="E202" s="5" t="s">
        <v>261</v>
      </c>
      <c r="F202" s="6" t="s">
        <v>51</v>
      </c>
      <c r="G202" s="6"/>
      <c r="H202" s="32">
        <v>46079</v>
      </c>
      <c r="I202" s="7"/>
      <c r="J202" s="8" t="s">
        <v>4</v>
      </c>
      <c r="K202" s="28"/>
    </row>
    <row r="203" spans="1:11">
      <c r="A203" s="15">
        <f t="shared" si="5"/>
        <v>201</v>
      </c>
      <c r="B203" s="6" t="s">
        <v>18</v>
      </c>
      <c r="C203" s="10">
        <v>46235</v>
      </c>
      <c r="D203" s="11" t="s">
        <v>165</v>
      </c>
      <c r="E203" s="5" t="s">
        <v>255</v>
      </c>
      <c r="F203" s="6" t="s">
        <v>69</v>
      </c>
      <c r="G203" s="6"/>
      <c r="H203" s="32">
        <v>46078</v>
      </c>
      <c r="I203" s="7">
        <v>46078</v>
      </c>
      <c r="J203" s="8" t="s">
        <v>5</v>
      </c>
      <c r="K203" s="28"/>
    </row>
    <row r="204" spans="1:11">
      <c r="A204" s="15">
        <f t="shared" si="5"/>
        <v>202</v>
      </c>
      <c r="B204" s="6" t="s">
        <v>18</v>
      </c>
      <c r="C204" s="10">
        <v>46235</v>
      </c>
      <c r="D204" s="11" t="s">
        <v>251</v>
      </c>
      <c r="E204" s="5" t="s">
        <v>252</v>
      </c>
      <c r="F204" s="6" t="s">
        <v>251</v>
      </c>
      <c r="G204" s="6"/>
      <c r="H204" s="32">
        <v>46078</v>
      </c>
      <c r="I204" s="7">
        <v>46078</v>
      </c>
      <c r="J204" s="8" t="s">
        <v>5</v>
      </c>
      <c r="K204" s="28"/>
    </row>
    <row r="205" spans="1:11">
      <c r="A205" s="15">
        <f t="shared" si="5"/>
        <v>203</v>
      </c>
      <c r="B205" s="6" t="s">
        <v>18</v>
      </c>
      <c r="C205" s="10">
        <v>46235</v>
      </c>
      <c r="D205" s="11" t="s">
        <v>251</v>
      </c>
      <c r="E205" s="5" t="s">
        <v>257</v>
      </c>
      <c r="F205" s="6" t="s">
        <v>251</v>
      </c>
      <c r="G205" s="6"/>
      <c r="H205" s="32">
        <v>46078</v>
      </c>
      <c r="I205" s="7">
        <v>46078</v>
      </c>
      <c r="J205" s="8" t="s">
        <v>5</v>
      </c>
      <c r="K205" s="28"/>
    </row>
    <row r="206" spans="1:11">
      <c r="A206" s="15">
        <f t="shared" si="5"/>
        <v>204</v>
      </c>
      <c r="B206" s="6" t="s">
        <v>18</v>
      </c>
      <c r="C206" s="10">
        <v>46235</v>
      </c>
      <c r="D206" s="11" t="s">
        <v>251</v>
      </c>
      <c r="E206" s="5" t="s">
        <v>260</v>
      </c>
      <c r="F206" s="6" t="s">
        <v>251</v>
      </c>
      <c r="G206" s="6"/>
      <c r="H206" s="32">
        <v>46122</v>
      </c>
      <c r="I206" s="7">
        <v>46122</v>
      </c>
      <c r="J206" s="8" t="s">
        <v>5</v>
      </c>
      <c r="K206" s="28"/>
    </row>
    <row r="207" spans="1:11">
      <c r="A207" s="15">
        <f t="shared" si="5"/>
        <v>205</v>
      </c>
      <c r="B207" s="6" t="s">
        <v>18</v>
      </c>
      <c r="C207" s="10">
        <v>46235</v>
      </c>
      <c r="D207" s="11" t="s">
        <v>251</v>
      </c>
      <c r="E207" s="5" t="s">
        <v>262</v>
      </c>
      <c r="F207" s="6" t="s">
        <v>251</v>
      </c>
      <c r="G207" s="6"/>
      <c r="H207" s="32">
        <v>46139</v>
      </c>
      <c r="I207" s="7"/>
      <c r="J207" s="8" t="s">
        <v>4</v>
      </c>
      <c r="K207" s="28"/>
    </row>
    <row r="208" spans="1:11" ht="25.5">
      <c r="A208" s="15">
        <f t="shared" si="5"/>
        <v>206</v>
      </c>
      <c r="B208" s="6" t="s">
        <v>13</v>
      </c>
      <c r="C208" s="10">
        <v>46113</v>
      </c>
      <c r="D208" s="11" t="s">
        <v>13</v>
      </c>
      <c r="E208" s="5" t="s">
        <v>263</v>
      </c>
      <c r="F208" s="6" t="s">
        <v>51</v>
      </c>
      <c r="G208" s="6"/>
      <c r="H208" s="32">
        <v>46139.645110798607</v>
      </c>
      <c r="I208" s="7">
        <v>46139.645110752317</v>
      </c>
      <c r="J208" s="8" t="s">
        <v>133</v>
      </c>
      <c r="K208" s="28" t="s">
        <v>264</v>
      </c>
    </row>
    <row r="209" spans="1:11" ht="25.5">
      <c r="A209" s="15">
        <f t="shared" si="5"/>
        <v>207</v>
      </c>
      <c r="B209" s="6" t="s">
        <v>13</v>
      </c>
      <c r="C209" s="10">
        <v>46113</v>
      </c>
      <c r="D209" s="11" t="s">
        <v>13</v>
      </c>
      <c r="E209" s="5" t="s">
        <v>265</v>
      </c>
      <c r="F209" s="6" t="s">
        <v>51</v>
      </c>
      <c r="G209" s="6"/>
      <c r="H209" s="32">
        <v>46139.645116990738</v>
      </c>
      <c r="I209" s="7">
        <v>46139.645116967593</v>
      </c>
      <c r="J209" s="8" t="s">
        <v>133</v>
      </c>
      <c r="K209" s="28" t="s">
        <v>264</v>
      </c>
    </row>
    <row r="210" spans="1:11">
      <c r="A210" s="15">
        <f t="shared" si="5"/>
        <v>208</v>
      </c>
      <c r="B210" s="6" t="s">
        <v>13</v>
      </c>
      <c r="C210" s="10">
        <v>46113</v>
      </c>
      <c r="D210" s="11" t="s">
        <v>13</v>
      </c>
      <c r="E210" s="5" t="s">
        <v>266</v>
      </c>
      <c r="F210" s="6" t="s">
        <v>51</v>
      </c>
      <c r="G210" s="6"/>
      <c r="H210" s="32">
        <v>46139.645121273148</v>
      </c>
      <c r="I210" s="7">
        <v>46139.645121249996</v>
      </c>
      <c r="J210" s="8" t="s">
        <v>133</v>
      </c>
      <c r="K210" s="28" t="s">
        <v>264</v>
      </c>
    </row>
    <row r="211" spans="1:11" ht="38.25">
      <c r="A211" s="15">
        <f t="shared" si="5"/>
        <v>209</v>
      </c>
      <c r="B211" s="6" t="s">
        <v>13</v>
      </c>
      <c r="C211" s="10">
        <v>46113</v>
      </c>
      <c r="D211" s="11" t="s">
        <v>13</v>
      </c>
      <c r="E211" s="5" t="s">
        <v>267</v>
      </c>
      <c r="F211" s="6" t="s">
        <v>51</v>
      </c>
      <c r="G211" s="6"/>
      <c r="H211" s="32">
        <v>46139.645125277777</v>
      </c>
      <c r="I211" s="7">
        <v>46139.645125254625</v>
      </c>
      <c r="J211" s="8" t="s">
        <v>133</v>
      </c>
      <c r="K211" s="28" t="s">
        <v>264</v>
      </c>
    </row>
    <row r="212" spans="1:11" ht="25.5">
      <c r="A212" s="15">
        <f t="shared" si="5"/>
        <v>210</v>
      </c>
      <c r="B212" s="6" t="s">
        <v>13</v>
      </c>
      <c r="C212" s="10">
        <v>46113</v>
      </c>
      <c r="D212" s="11" t="s">
        <v>13</v>
      </c>
      <c r="E212" s="5" t="s">
        <v>268</v>
      </c>
      <c r="F212" s="6" t="s">
        <v>51</v>
      </c>
      <c r="G212" s="6"/>
      <c r="H212" s="32">
        <v>46139.645129525466</v>
      </c>
      <c r="I212" s="7">
        <v>46139.64512951389</v>
      </c>
      <c r="J212" s="8" t="s">
        <v>133</v>
      </c>
      <c r="K212" s="28" t="s">
        <v>264</v>
      </c>
    </row>
    <row r="213" spans="1:11" ht="38.25">
      <c r="A213" s="15">
        <f t="shared" si="5"/>
        <v>211</v>
      </c>
      <c r="B213" s="6" t="s">
        <v>13</v>
      </c>
      <c r="C213" s="10">
        <v>46113</v>
      </c>
      <c r="D213" s="11" t="s">
        <v>13</v>
      </c>
      <c r="E213" s="5" t="s">
        <v>269</v>
      </c>
      <c r="F213" s="6" t="s">
        <v>51</v>
      </c>
      <c r="G213" s="6"/>
      <c r="H213" s="32">
        <v>46139.645154305559</v>
      </c>
      <c r="I213" s="7">
        <v>46139.645154282407</v>
      </c>
      <c r="J213" s="8" t="s">
        <v>133</v>
      </c>
      <c r="K213" s="28" t="s">
        <v>264</v>
      </c>
    </row>
    <row r="214" spans="1:11" ht="25.5">
      <c r="A214" s="15">
        <f t="shared" si="5"/>
        <v>212</v>
      </c>
      <c r="B214" s="6" t="s">
        <v>13</v>
      </c>
      <c r="C214" s="10">
        <v>46113</v>
      </c>
      <c r="D214" s="11" t="s">
        <v>13</v>
      </c>
      <c r="E214" s="5" t="s">
        <v>270</v>
      </c>
      <c r="F214" s="6" t="s">
        <v>51</v>
      </c>
      <c r="G214" s="6"/>
      <c r="H214" s="32">
        <v>46139.645156446757</v>
      </c>
      <c r="I214" s="7">
        <v>46139.645156435188</v>
      </c>
      <c r="J214" s="8" t="s">
        <v>5</v>
      </c>
      <c r="K214" s="28"/>
    </row>
    <row r="215" spans="1:11" ht="25.5">
      <c r="A215" s="15">
        <f t="shared" si="5"/>
        <v>213</v>
      </c>
      <c r="B215" s="6" t="s">
        <v>13</v>
      </c>
      <c r="C215" s="10">
        <v>46113</v>
      </c>
      <c r="D215" s="11" t="s">
        <v>13</v>
      </c>
      <c r="E215" s="5" t="s">
        <v>271</v>
      </c>
      <c r="F215" s="6" t="s">
        <v>51</v>
      </c>
      <c r="G215" s="6"/>
      <c r="H215" s="32">
        <v>46139.645158217594</v>
      </c>
      <c r="I215" s="7">
        <v>46139.645158206018</v>
      </c>
      <c r="J215" s="8" t="s">
        <v>5</v>
      </c>
      <c r="K215" s="28"/>
    </row>
    <row r="216" spans="1:11">
      <c r="A216" s="15">
        <f t="shared" si="5"/>
        <v>214</v>
      </c>
      <c r="B216" s="6" t="s">
        <v>13</v>
      </c>
      <c r="C216" s="10">
        <v>46113</v>
      </c>
      <c r="D216" s="11" t="s">
        <v>13</v>
      </c>
      <c r="E216" s="5" t="s">
        <v>272</v>
      </c>
      <c r="F216" s="6" t="s">
        <v>51</v>
      </c>
      <c r="G216" s="6"/>
      <c r="H216" s="32">
        <v>46139.64516</v>
      </c>
      <c r="I216" s="7">
        <v>46139.645159988431</v>
      </c>
      <c r="J216" s="8" t="s">
        <v>5</v>
      </c>
      <c r="K216" s="28" t="s">
        <v>273</v>
      </c>
    </row>
    <row r="217" spans="1:11" ht="25.5">
      <c r="A217" s="15">
        <f t="shared" si="5"/>
        <v>215</v>
      </c>
      <c r="B217" s="6" t="s">
        <v>13</v>
      </c>
      <c r="C217" s="10">
        <v>46113</v>
      </c>
      <c r="D217" s="11" t="s">
        <v>13</v>
      </c>
      <c r="E217" s="5" t="s">
        <v>274</v>
      </c>
      <c r="F217" s="6" t="s">
        <v>51</v>
      </c>
      <c r="G217" s="6"/>
      <c r="H217" s="32">
        <v>46139.645162152781</v>
      </c>
      <c r="I217" s="7">
        <v>46139.645162141205</v>
      </c>
      <c r="J217" s="8" t="s">
        <v>5</v>
      </c>
      <c r="K217" s="28"/>
    </row>
    <row r="218" spans="1:11">
      <c r="A218" s="15">
        <f t="shared" si="5"/>
        <v>216</v>
      </c>
      <c r="B218" s="6" t="s">
        <v>13</v>
      </c>
      <c r="C218" s="10">
        <v>46113</v>
      </c>
      <c r="D218" s="11" t="s">
        <v>13</v>
      </c>
      <c r="E218" s="5" t="s">
        <v>275</v>
      </c>
      <c r="F218" s="6" t="s">
        <v>51</v>
      </c>
      <c r="G218" s="6"/>
      <c r="H218" s="32">
        <v>46139.645164421294</v>
      </c>
      <c r="I218" s="7">
        <v>46139.645164398149</v>
      </c>
      <c r="J218" s="8" t="s">
        <v>5</v>
      </c>
      <c r="K218" s="28"/>
    </row>
    <row r="219" spans="1:11">
      <c r="A219" s="15">
        <f t="shared" si="5"/>
        <v>217</v>
      </c>
      <c r="B219" s="6" t="s">
        <v>13</v>
      </c>
      <c r="C219" s="10">
        <v>46113</v>
      </c>
      <c r="D219" s="11" t="s">
        <v>13</v>
      </c>
      <c r="E219" s="5" t="s">
        <v>276</v>
      </c>
      <c r="F219" s="6" t="s">
        <v>51</v>
      </c>
      <c r="G219" s="6"/>
      <c r="H219" s="32">
        <v>46139.645166435184</v>
      </c>
      <c r="I219" s="7">
        <v>46139.645166423608</v>
      </c>
      <c r="J219" s="8" t="s">
        <v>5</v>
      </c>
      <c r="K219" s="28"/>
    </row>
    <row r="220" spans="1:11" ht="25.5">
      <c r="A220" s="15">
        <f t="shared" si="5"/>
        <v>218</v>
      </c>
      <c r="B220" s="6" t="s">
        <v>13</v>
      </c>
      <c r="C220" s="10">
        <v>46113</v>
      </c>
      <c r="D220" s="11" t="s">
        <v>13</v>
      </c>
      <c r="E220" s="5" t="s">
        <v>277</v>
      </c>
      <c r="F220" s="6" t="s">
        <v>51</v>
      </c>
      <c r="G220" s="6"/>
      <c r="H220" s="32">
        <v>46139.645168530093</v>
      </c>
      <c r="I220" s="7">
        <v>46139.645168518517</v>
      </c>
      <c r="J220" s="8" t="s">
        <v>5</v>
      </c>
      <c r="K220" s="28"/>
    </row>
    <row r="221" spans="1:11">
      <c r="A221" s="15">
        <f t="shared" si="5"/>
        <v>219</v>
      </c>
      <c r="B221" s="6" t="s">
        <v>13</v>
      </c>
      <c r="C221" s="10">
        <v>46113</v>
      </c>
      <c r="D221" s="11" t="s">
        <v>13</v>
      </c>
      <c r="E221" s="5" t="s">
        <v>278</v>
      </c>
      <c r="F221" s="6" t="s">
        <v>51</v>
      </c>
      <c r="G221" s="6"/>
      <c r="H221" s="32">
        <v>46139.645170474541</v>
      </c>
      <c r="I221" s="7">
        <v>46139.645170451389</v>
      </c>
      <c r="J221" s="8" t="s">
        <v>5</v>
      </c>
      <c r="K221" s="28"/>
    </row>
    <row r="222" spans="1:11" ht="25.5">
      <c r="A222" s="15">
        <f t="shared" si="5"/>
        <v>220</v>
      </c>
      <c r="B222" s="6" t="s">
        <v>13</v>
      </c>
      <c r="C222" s="10">
        <v>46113</v>
      </c>
      <c r="D222" s="11" t="s">
        <v>13</v>
      </c>
      <c r="E222" s="5" t="s">
        <v>279</v>
      </c>
      <c r="F222" s="6" t="s">
        <v>51</v>
      </c>
      <c r="G222" s="6"/>
      <c r="H222" s="32">
        <v>46139.645172430552</v>
      </c>
      <c r="I222" s="7">
        <v>46139.645172418983</v>
      </c>
      <c r="J222" s="8" t="s">
        <v>5</v>
      </c>
      <c r="K222" s="28"/>
    </row>
    <row r="223" spans="1:11" ht="25.5">
      <c r="A223" s="15">
        <f t="shared" si="5"/>
        <v>221</v>
      </c>
      <c r="B223" s="6" t="s">
        <v>13</v>
      </c>
      <c r="C223" s="10">
        <v>46113</v>
      </c>
      <c r="D223" s="11" t="s">
        <v>13</v>
      </c>
      <c r="E223" s="5" t="s">
        <v>280</v>
      </c>
      <c r="F223" s="6" t="s">
        <v>51</v>
      </c>
      <c r="G223" s="6"/>
      <c r="H223" s="32">
        <v>46139.645174745368</v>
      </c>
      <c r="I223" s="7">
        <v>46139.645174699079</v>
      </c>
      <c r="J223" s="8" t="s">
        <v>5</v>
      </c>
      <c r="K223" s="28"/>
    </row>
    <row r="224" spans="1:11">
      <c r="A224" s="15">
        <f t="shared" si="5"/>
        <v>222</v>
      </c>
      <c r="B224" s="6" t="s">
        <v>13</v>
      </c>
      <c r="C224" s="10">
        <v>46113</v>
      </c>
      <c r="D224" s="11" t="s">
        <v>13</v>
      </c>
      <c r="E224" s="5" t="s">
        <v>281</v>
      </c>
      <c r="F224" s="6" t="s">
        <v>51</v>
      </c>
      <c r="G224" s="6"/>
      <c r="H224" s="32">
        <v>46139.645176828708</v>
      </c>
      <c r="I224" s="7">
        <v>46139.645176805556</v>
      </c>
      <c r="J224" s="8" t="s">
        <v>5</v>
      </c>
      <c r="K224" s="28"/>
    </row>
    <row r="225" spans="1:11">
      <c r="A225" s="15">
        <f t="shared" si="5"/>
        <v>223</v>
      </c>
      <c r="B225" s="6" t="s">
        <v>13</v>
      </c>
      <c r="C225" s="10">
        <v>46113</v>
      </c>
      <c r="D225" s="11" t="s">
        <v>13</v>
      </c>
      <c r="E225" s="5" t="s">
        <v>282</v>
      </c>
      <c r="F225" s="6" t="s">
        <v>51</v>
      </c>
      <c r="G225" s="6"/>
      <c r="H225" s="32">
        <v>46139.645178854167</v>
      </c>
      <c r="I225" s="7">
        <v>46139.645178842591</v>
      </c>
      <c r="J225" s="8" t="s">
        <v>5</v>
      </c>
      <c r="K225" s="28"/>
    </row>
    <row r="226" spans="1:11">
      <c r="A226" s="15">
        <f t="shared" si="5"/>
        <v>224</v>
      </c>
      <c r="B226" s="6" t="s">
        <v>13</v>
      </c>
      <c r="C226" s="10">
        <v>46113</v>
      </c>
      <c r="D226" s="11" t="s">
        <v>13</v>
      </c>
      <c r="E226" s="5" t="s">
        <v>283</v>
      </c>
      <c r="F226" s="6" t="s">
        <v>51</v>
      </c>
      <c r="G226" s="6"/>
      <c r="H226" s="32">
        <v>46139.645180902779</v>
      </c>
      <c r="I226" s="7">
        <v>46139.645180891202</v>
      </c>
      <c r="J226" s="8" t="s">
        <v>5</v>
      </c>
      <c r="K226" s="28"/>
    </row>
    <row r="227" spans="1:11" ht="25.5">
      <c r="A227" s="15">
        <f t="shared" si="5"/>
        <v>225</v>
      </c>
      <c r="B227" s="6" t="s">
        <v>13</v>
      </c>
      <c r="C227" s="10">
        <v>46113</v>
      </c>
      <c r="D227" s="11" t="s">
        <v>13</v>
      </c>
      <c r="E227" s="5" t="s">
        <v>284</v>
      </c>
      <c r="F227" s="6" t="s">
        <v>51</v>
      </c>
      <c r="G227" s="6"/>
      <c r="H227" s="32">
        <v>46139.645182916662</v>
      </c>
      <c r="I227" s="7">
        <v>46139.645182905093</v>
      </c>
      <c r="J227" s="8" t="s">
        <v>5</v>
      </c>
      <c r="K227" s="28"/>
    </row>
    <row r="228" spans="1:11" ht="25.5">
      <c r="A228" s="15">
        <f t="shared" si="5"/>
        <v>226</v>
      </c>
      <c r="B228" s="6" t="s">
        <v>13</v>
      </c>
      <c r="C228" s="10">
        <v>46113</v>
      </c>
      <c r="D228" s="11" t="s">
        <v>13</v>
      </c>
      <c r="E228" s="5" t="s">
        <v>285</v>
      </c>
      <c r="F228" s="6" t="s">
        <v>51</v>
      </c>
      <c r="G228" s="6"/>
      <c r="H228" s="32">
        <v>46139.645185243055</v>
      </c>
      <c r="I228" s="7">
        <v>46139.645185231479</v>
      </c>
      <c r="J228" s="8" t="s">
        <v>5</v>
      </c>
      <c r="K228" s="28"/>
    </row>
    <row r="229" spans="1:11">
      <c r="A229" s="15">
        <f t="shared" si="5"/>
        <v>227</v>
      </c>
      <c r="B229" s="6" t="s">
        <v>13</v>
      </c>
      <c r="C229" s="10">
        <v>46113</v>
      </c>
      <c r="D229" s="11" t="s">
        <v>13</v>
      </c>
      <c r="E229" s="5" t="s">
        <v>286</v>
      </c>
      <c r="F229" s="6" t="s">
        <v>51</v>
      </c>
      <c r="G229" s="6"/>
      <c r="H229" s="32">
        <v>46139.645187303242</v>
      </c>
      <c r="I229" s="7">
        <v>46139.645187280097</v>
      </c>
      <c r="J229" s="8" t="s">
        <v>5</v>
      </c>
      <c r="K229" s="28"/>
    </row>
    <row r="230" spans="1:11">
      <c r="A230" s="15">
        <f t="shared" si="5"/>
        <v>228</v>
      </c>
      <c r="B230" s="6" t="s">
        <v>13</v>
      </c>
      <c r="C230" s="10">
        <v>46113</v>
      </c>
      <c r="D230" s="11" t="s">
        <v>13</v>
      </c>
      <c r="E230" s="5" t="s">
        <v>287</v>
      </c>
      <c r="F230" s="6" t="s">
        <v>51</v>
      </c>
      <c r="G230" s="6"/>
      <c r="H230" s="32">
        <v>46139.645189317132</v>
      </c>
      <c r="I230" s="7">
        <v>46139.645189305556</v>
      </c>
      <c r="J230" s="8" t="s">
        <v>5</v>
      </c>
      <c r="K230" s="28"/>
    </row>
    <row r="231" spans="1:11">
      <c r="A231" s="15">
        <f t="shared" si="5"/>
        <v>229</v>
      </c>
      <c r="B231" s="6" t="s">
        <v>13</v>
      </c>
      <c r="C231" s="10">
        <v>46113</v>
      </c>
      <c r="D231" s="11" t="s">
        <v>13</v>
      </c>
      <c r="E231" s="5" t="s">
        <v>288</v>
      </c>
      <c r="F231" s="6" t="s">
        <v>51</v>
      </c>
      <c r="G231" s="6"/>
      <c r="H231" s="32">
        <v>46139.645191446762</v>
      </c>
      <c r="I231" s="7">
        <v>46139.645191435186</v>
      </c>
      <c r="J231" s="8" t="s">
        <v>5</v>
      </c>
      <c r="K231" s="28"/>
    </row>
    <row r="232" spans="1:11" ht="25.5">
      <c r="A232" s="15">
        <f t="shared" si="5"/>
        <v>230</v>
      </c>
      <c r="B232" s="6" t="s">
        <v>13</v>
      </c>
      <c r="C232" s="10">
        <v>46113</v>
      </c>
      <c r="D232" s="11" t="s">
        <v>13</v>
      </c>
      <c r="E232" s="5" t="s">
        <v>289</v>
      </c>
      <c r="F232" s="6" t="s">
        <v>51</v>
      </c>
      <c r="G232" s="6"/>
      <c r="H232" s="32">
        <v>46139.645193414355</v>
      </c>
      <c r="I232" s="7">
        <v>46139.645193391203</v>
      </c>
      <c r="J232" s="8" t="s">
        <v>5</v>
      </c>
      <c r="K232" s="28"/>
    </row>
    <row r="233" spans="1:11">
      <c r="A233" s="15">
        <f t="shared" si="5"/>
        <v>231</v>
      </c>
      <c r="B233" s="6" t="s">
        <v>13</v>
      </c>
      <c r="C233" s="10">
        <v>46113</v>
      </c>
      <c r="D233" s="11" t="s">
        <v>13</v>
      </c>
      <c r="E233" s="5" t="s">
        <v>290</v>
      </c>
      <c r="F233" s="6" t="s">
        <v>51</v>
      </c>
      <c r="G233" s="6"/>
      <c r="H233" s="32">
        <v>46139.645195787038</v>
      </c>
      <c r="I233" s="7">
        <v>46139.645195775462</v>
      </c>
      <c r="J233" s="8" t="s">
        <v>5</v>
      </c>
      <c r="K233" s="28" t="s">
        <v>291</v>
      </c>
    </row>
    <row r="234" spans="1:11">
      <c r="A234" s="15">
        <f t="shared" si="5"/>
        <v>232</v>
      </c>
      <c r="B234" s="6" t="s">
        <v>13</v>
      </c>
      <c r="C234" s="10">
        <v>46113</v>
      </c>
      <c r="D234" s="11" t="s">
        <v>13</v>
      </c>
      <c r="E234" s="5" t="s">
        <v>292</v>
      </c>
      <c r="F234" s="6" t="s">
        <v>51</v>
      </c>
      <c r="G234" s="6"/>
      <c r="H234" s="32">
        <v>46139.645198043982</v>
      </c>
      <c r="I234" s="7">
        <v>46139.645198032405</v>
      </c>
      <c r="J234" s="8" t="s">
        <v>133</v>
      </c>
      <c r="K234" s="28" t="s">
        <v>293</v>
      </c>
    </row>
    <row r="235" spans="1:11" ht="51">
      <c r="A235" s="15">
        <f t="shared" si="5"/>
        <v>233</v>
      </c>
      <c r="B235" s="6" t="s">
        <v>13</v>
      </c>
      <c r="C235" s="10">
        <v>46113</v>
      </c>
      <c r="D235" s="11" t="s">
        <v>13</v>
      </c>
      <c r="E235" s="5" t="s">
        <v>294</v>
      </c>
      <c r="F235" s="6" t="s">
        <v>51</v>
      </c>
      <c r="G235" s="6"/>
      <c r="H235" s="32">
        <v>46139.645200358791</v>
      </c>
      <c r="I235" s="7">
        <v>46139.645200347222</v>
      </c>
      <c r="J235" s="8" t="s">
        <v>133</v>
      </c>
      <c r="K235" s="28" t="s">
        <v>293</v>
      </c>
    </row>
    <row r="236" spans="1:11" ht="25.5">
      <c r="A236" s="15">
        <f t="shared" si="5"/>
        <v>234</v>
      </c>
      <c r="B236" s="6" t="s">
        <v>13</v>
      </c>
      <c r="C236" s="10">
        <v>46113</v>
      </c>
      <c r="D236" s="11" t="s">
        <v>13</v>
      </c>
      <c r="E236" s="5" t="s">
        <v>295</v>
      </c>
      <c r="F236" s="6" t="s">
        <v>51</v>
      </c>
      <c r="G236" s="6"/>
      <c r="H236" s="32">
        <v>46139.645202488427</v>
      </c>
      <c r="I236" s="7">
        <v>46139.645202476851</v>
      </c>
      <c r="J236" s="8" t="s">
        <v>5</v>
      </c>
      <c r="K236" s="28"/>
    </row>
    <row r="237" spans="1:11" ht="25.5">
      <c r="A237" s="15">
        <f t="shared" si="5"/>
        <v>235</v>
      </c>
      <c r="B237" s="6" t="s">
        <v>13</v>
      </c>
      <c r="C237" s="10">
        <v>46113</v>
      </c>
      <c r="D237" s="11" t="s">
        <v>13</v>
      </c>
      <c r="E237" s="5" t="s">
        <v>296</v>
      </c>
      <c r="F237" s="6" t="s">
        <v>51</v>
      </c>
      <c r="G237" s="6"/>
      <c r="H237" s="32">
        <v>46139.645204375003</v>
      </c>
      <c r="I237" s="7">
        <v>46139.645204351851</v>
      </c>
      <c r="J237" s="8" t="s">
        <v>5</v>
      </c>
      <c r="K237" s="28"/>
    </row>
    <row r="238" spans="1:11">
      <c r="A238" s="15">
        <f t="shared" si="5"/>
        <v>236</v>
      </c>
      <c r="B238" s="6" t="s">
        <v>13</v>
      </c>
      <c r="C238" s="10">
        <v>46113</v>
      </c>
      <c r="D238" s="11" t="s">
        <v>13</v>
      </c>
      <c r="E238" s="5" t="s">
        <v>297</v>
      </c>
      <c r="F238" s="6" t="s">
        <v>51</v>
      </c>
      <c r="G238" s="6"/>
      <c r="H238" s="32">
        <v>46139.645206759262</v>
      </c>
      <c r="I238" s="7">
        <v>46139.645206747686</v>
      </c>
      <c r="J238" s="8" t="s">
        <v>5</v>
      </c>
      <c r="K238" s="28"/>
    </row>
    <row r="239" spans="1:11">
      <c r="A239" s="15">
        <f t="shared" si="5"/>
        <v>237</v>
      </c>
      <c r="B239" s="6" t="s">
        <v>13</v>
      </c>
      <c r="C239" s="10">
        <v>46113</v>
      </c>
      <c r="D239" s="11" t="s">
        <v>13</v>
      </c>
      <c r="E239" s="5" t="s">
        <v>298</v>
      </c>
      <c r="F239" s="6" t="s">
        <v>51</v>
      </c>
      <c r="G239" s="6"/>
      <c r="H239" s="32">
        <v>46139.645211921292</v>
      </c>
      <c r="I239" s="7">
        <v>46139.645211712967</v>
      </c>
      <c r="J239" s="8" t="s">
        <v>5</v>
      </c>
      <c r="K239" s="28"/>
    </row>
    <row r="240" spans="1:11">
      <c r="A240" s="15">
        <f t="shared" si="5"/>
        <v>238</v>
      </c>
      <c r="B240" s="6" t="s">
        <v>13</v>
      </c>
      <c r="C240" s="10">
        <v>46113</v>
      </c>
      <c r="D240" s="11" t="s">
        <v>13</v>
      </c>
      <c r="E240" s="5" t="s">
        <v>299</v>
      </c>
      <c r="F240" s="6" t="s">
        <v>51</v>
      </c>
      <c r="G240" s="6"/>
      <c r="H240" s="32">
        <v>46139.645215266202</v>
      </c>
      <c r="I240" s="7">
        <v>46139.645215243057</v>
      </c>
      <c r="J240" s="8" t="s">
        <v>5</v>
      </c>
      <c r="K240" s="28"/>
    </row>
    <row r="241" spans="1:11">
      <c r="A241" s="15">
        <f t="shared" si="5"/>
        <v>239</v>
      </c>
      <c r="B241" s="6" t="s">
        <v>13</v>
      </c>
      <c r="C241" s="10">
        <v>46113</v>
      </c>
      <c r="D241" s="11" t="s">
        <v>13</v>
      </c>
      <c r="E241" s="5" t="s">
        <v>300</v>
      </c>
      <c r="F241" s="6" t="s">
        <v>51</v>
      </c>
      <c r="G241" s="6"/>
      <c r="H241" s="32">
        <v>46139.645217210651</v>
      </c>
      <c r="I241" s="7">
        <v>46139.645217199075</v>
      </c>
      <c r="J241" s="8" t="s">
        <v>5</v>
      </c>
      <c r="K241" s="28"/>
    </row>
    <row r="242" spans="1:11" ht="25.5">
      <c r="A242" s="15">
        <f t="shared" si="5"/>
        <v>240</v>
      </c>
      <c r="B242" s="6" t="s">
        <v>13</v>
      </c>
      <c r="C242" s="10">
        <v>46113</v>
      </c>
      <c r="D242" s="11" t="s">
        <v>13</v>
      </c>
      <c r="E242" s="5" t="s">
        <v>301</v>
      </c>
      <c r="F242" s="6" t="s">
        <v>51</v>
      </c>
      <c r="G242" s="6"/>
      <c r="H242" s="32">
        <v>46139.64521913194</v>
      </c>
      <c r="I242" s="7">
        <v>46139.645219120372</v>
      </c>
      <c r="J242" s="8" t="s">
        <v>5</v>
      </c>
      <c r="K242" s="28"/>
    </row>
    <row r="243" spans="1:11">
      <c r="A243" s="15">
        <f t="shared" ref="A243:A306" si="6">A242+1</f>
        <v>241</v>
      </c>
      <c r="B243" s="6" t="s">
        <v>13</v>
      </c>
      <c r="C243" s="10">
        <v>46113</v>
      </c>
      <c r="D243" s="11" t="s">
        <v>13</v>
      </c>
      <c r="E243" s="5" t="s">
        <v>302</v>
      </c>
      <c r="F243" s="6" t="s">
        <v>51</v>
      </c>
      <c r="G243" s="6"/>
      <c r="H243" s="32">
        <v>46139.645221319442</v>
      </c>
      <c r="I243" s="7">
        <v>46139.645221307874</v>
      </c>
      <c r="J243" s="8" t="s">
        <v>5</v>
      </c>
      <c r="K243" s="28"/>
    </row>
    <row r="244" spans="1:11">
      <c r="A244" s="15">
        <f t="shared" si="6"/>
        <v>242</v>
      </c>
      <c r="B244" s="6" t="s">
        <v>13</v>
      </c>
      <c r="C244" s="10">
        <v>46113</v>
      </c>
      <c r="D244" s="11" t="s">
        <v>13</v>
      </c>
      <c r="E244" s="5" t="s">
        <v>303</v>
      </c>
      <c r="F244" s="6" t="s">
        <v>51</v>
      </c>
      <c r="G244" s="6"/>
      <c r="H244" s="32">
        <v>46139.646208784718</v>
      </c>
      <c r="I244" s="7">
        <v>46195.598697488429</v>
      </c>
      <c r="J244" s="8" t="s">
        <v>5</v>
      </c>
      <c r="K244" s="28"/>
    </row>
    <row r="245" spans="1:11" ht="25.5">
      <c r="A245" s="15">
        <f t="shared" si="6"/>
        <v>243</v>
      </c>
      <c r="B245" s="6" t="s">
        <v>12</v>
      </c>
      <c r="C245" s="10">
        <v>46113</v>
      </c>
      <c r="D245" s="11" t="s">
        <v>12</v>
      </c>
      <c r="E245" s="5" t="s">
        <v>263</v>
      </c>
      <c r="F245" s="6" t="s">
        <v>51</v>
      </c>
      <c r="G245" s="6"/>
      <c r="H245" s="32">
        <v>46139.645110798607</v>
      </c>
      <c r="I245" s="7">
        <v>46139.645110752317</v>
      </c>
      <c r="J245" s="8" t="s">
        <v>133</v>
      </c>
      <c r="K245" s="28"/>
    </row>
    <row r="246" spans="1:11" ht="25.5">
      <c r="A246" s="15">
        <f t="shared" si="6"/>
        <v>244</v>
      </c>
      <c r="B246" s="6" t="s">
        <v>12</v>
      </c>
      <c r="C246" s="10">
        <v>46113</v>
      </c>
      <c r="D246" s="11" t="s">
        <v>12</v>
      </c>
      <c r="E246" s="5" t="s">
        <v>265</v>
      </c>
      <c r="F246" s="6" t="s">
        <v>51</v>
      </c>
      <c r="G246" s="6"/>
      <c r="H246" s="32">
        <v>46139.645116990738</v>
      </c>
      <c r="I246" s="7">
        <v>46139.645116967593</v>
      </c>
      <c r="J246" s="8" t="s">
        <v>133</v>
      </c>
      <c r="K246" s="28"/>
    </row>
    <row r="247" spans="1:11">
      <c r="A247" s="15">
        <f t="shared" si="6"/>
        <v>245</v>
      </c>
      <c r="B247" s="6" t="s">
        <v>12</v>
      </c>
      <c r="C247" s="10">
        <v>46113</v>
      </c>
      <c r="D247" s="11" t="s">
        <v>12</v>
      </c>
      <c r="E247" s="5" t="s">
        <v>266</v>
      </c>
      <c r="F247" s="6" t="s">
        <v>51</v>
      </c>
      <c r="G247" s="6"/>
      <c r="H247" s="32">
        <v>46139.645121273148</v>
      </c>
      <c r="I247" s="7">
        <v>46139.645121249996</v>
      </c>
      <c r="J247" s="8" t="s">
        <v>133</v>
      </c>
      <c r="K247" s="28"/>
    </row>
    <row r="248" spans="1:11" ht="38.25">
      <c r="A248" s="15">
        <f t="shared" si="6"/>
        <v>246</v>
      </c>
      <c r="B248" s="6" t="s">
        <v>12</v>
      </c>
      <c r="C248" s="10">
        <v>46113</v>
      </c>
      <c r="D248" s="11" t="s">
        <v>12</v>
      </c>
      <c r="E248" s="5" t="s">
        <v>267</v>
      </c>
      <c r="F248" s="6" t="s">
        <v>51</v>
      </c>
      <c r="G248" s="6"/>
      <c r="H248" s="32">
        <v>46139.645125277777</v>
      </c>
      <c r="I248" s="7">
        <v>46139.645125254625</v>
      </c>
      <c r="J248" s="8" t="s">
        <v>133</v>
      </c>
      <c r="K248" s="28"/>
    </row>
    <row r="249" spans="1:11" ht="25.5">
      <c r="A249" s="15">
        <f t="shared" si="6"/>
        <v>247</v>
      </c>
      <c r="B249" s="6" t="s">
        <v>12</v>
      </c>
      <c r="C249" s="10">
        <v>46113</v>
      </c>
      <c r="D249" s="11" t="s">
        <v>12</v>
      </c>
      <c r="E249" s="5" t="s">
        <v>268</v>
      </c>
      <c r="F249" s="6" t="s">
        <v>51</v>
      </c>
      <c r="G249" s="6"/>
      <c r="H249" s="32">
        <v>46139.645129525466</v>
      </c>
      <c r="I249" s="7">
        <v>46139.64512951389</v>
      </c>
      <c r="J249" s="8" t="s">
        <v>133</v>
      </c>
      <c r="K249" s="9"/>
    </row>
    <row r="250" spans="1:11" ht="38.25">
      <c r="A250" s="15">
        <f t="shared" si="6"/>
        <v>248</v>
      </c>
      <c r="B250" s="6" t="s">
        <v>12</v>
      </c>
      <c r="C250" s="10">
        <v>46113</v>
      </c>
      <c r="D250" s="11" t="s">
        <v>12</v>
      </c>
      <c r="E250" s="5" t="s">
        <v>269</v>
      </c>
      <c r="F250" s="6" t="s">
        <v>51</v>
      </c>
      <c r="G250" s="6"/>
      <c r="H250" s="32">
        <v>46139.645154305559</v>
      </c>
      <c r="I250" s="7">
        <v>46139.645154282407</v>
      </c>
      <c r="J250" s="8" t="s">
        <v>133</v>
      </c>
      <c r="K250" s="9"/>
    </row>
    <row r="251" spans="1:11" ht="25.5">
      <c r="A251" s="15">
        <f t="shared" si="6"/>
        <v>249</v>
      </c>
      <c r="B251" s="6" t="s">
        <v>12</v>
      </c>
      <c r="C251" s="10">
        <v>46113</v>
      </c>
      <c r="D251" s="11" t="s">
        <v>12</v>
      </c>
      <c r="E251" s="5" t="s">
        <v>270</v>
      </c>
      <c r="F251" s="6" t="s">
        <v>51</v>
      </c>
      <c r="G251" s="6"/>
      <c r="H251" s="32">
        <v>46139.645156446757</v>
      </c>
      <c r="I251" s="7">
        <v>46139.645156435188</v>
      </c>
      <c r="J251" s="8" t="s">
        <v>5</v>
      </c>
      <c r="K251" s="9"/>
    </row>
    <row r="252" spans="1:11" ht="25.5">
      <c r="A252" s="15">
        <f t="shared" si="6"/>
        <v>250</v>
      </c>
      <c r="B252" s="6" t="s">
        <v>12</v>
      </c>
      <c r="C252" s="10">
        <v>46113</v>
      </c>
      <c r="D252" s="11" t="s">
        <v>12</v>
      </c>
      <c r="E252" s="5" t="s">
        <v>271</v>
      </c>
      <c r="F252" s="6" t="s">
        <v>51</v>
      </c>
      <c r="G252" s="6"/>
      <c r="H252" s="32">
        <v>46139.645158217594</v>
      </c>
      <c r="I252" s="7">
        <v>46139.645158206018</v>
      </c>
      <c r="J252" s="8" t="s">
        <v>5</v>
      </c>
      <c r="K252" s="9"/>
    </row>
    <row r="253" spans="1:11">
      <c r="A253" s="15">
        <f t="shared" si="6"/>
        <v>251</v>
      </c>
      <c r="B253" s="6" t="s">
        <v>12</v>
      </c>
      <c r="C253" s="10">
        <v>46113</v>
      </c>
      <c r="D253" s="11" t="s">
        <v>12</v>
      </c>
      <c r="E253" s="5" t="s">
        <v>272</v>
      </c>
      <c r="F253" s="6" t="s">
        <v>51</v>
      </c>
      <c r="G253" s="6"/>
      <c r="H253" s="32">
        <v>46139.64516</v>
      </c>
      <c r="I253" s="7">
        <v>46139.645159988431</v>
      </c>
      <c r="J253" s="8" t="s">
        <v>5</v>
      </c>
      <c r="K253" s="9"/>
    </row>
    <row r="254" spans="1:11" ht="25.5">
      <c r="A254" s="15">
        <f t="shared" si="6"/>
        <v>252</v>
      </c>
      <c r="B254" s="6" t="s">
        <v>12</v>
      </c>
      <c r="C254" s="10">
        <v>46113</v>
      </c>
      <c r="D254" s="11" t="s">
        <v>12</v>
      </c>
      <c r="E254" s="5" t="s">
        <v>274</v>
      </c>
      <c r="F254" s="6" t="s">
        <v>51</v>
      </c>
      <c r="G254" s="6"/>
      <c r="H254" s="32">
        <v>46139.645162152781</v>
      </c>
      <c r="I254" s="7">
        <v>46139.645162141205</v>
      </c>
      <c r="J254" s="8" t="s">
        <v>5</v>
      </c>
      <c r="K254" s="9"/>
    </row>
    <row r="255" spans="1:11">
      <c r="A255" s="15">
        <f t="shared" si="6"/>
        <v>253</v>
      </c>
      <c r="B255" s="6" t="s">
        <v>12</v>
      </c>
      <c r="C255" s="10">
        <v>46113</v>
      </c>
      <c r="D255" s="11" t="s">
        <v>12</v>
      </c>
      <c r="E255" s="5" t="s">
        <v>275</v>
      </c>
      <c r="F255" s="6" t="s">
        <v>51</v>
      </c>
      <c r="G255" s="6"/>
      <c r="H255" s="32">
        <v>46139.645164421294</v>
      </c>
      <c r="I255" s="7">
        <v>46139.645164398149</v>
      </c>
      <c r="J255" s="8" t="s">
        <v>5</v>
      </c>
      <c r="K255" s="9"/>
    </row>
    <row r="256" spans="1:11">
      <c r="A256" s="15">
        <f t="shared" si="6"/>
        <v>254</v>
      </c>
      <c r="B256" s="6" t="s">
        <v>12</v>
      </c>
      <c r="C256" s="10">
        <v>46113</v>
      </c>
      <c r="D256" s="11" t="s">
        <v>12</v>
      </c>
      <c r="E256" s="5" t="s">
        <v>276</v>
      </c>
      <c r="F256" s="6" t="s">
        <v>51</v>
      </c>
      <c r="G256" s="6"/>
      <c r="H256" s="32">
        <v>46139.645166435184</v>
      </c>
      <c r="I256" s="7">
        <v>46139.645166423608</v>
      </c>
      <c r="J256" s="8" t="s">
        <v>5</v>
      </c>
      <c r="K256" s="9"/>
    </row>
    <row r="257" spans="1:11" ht="25.5">
      <c r="A257" s="15">
        <f t="shared" si="6"/>
        <v>255</v>
      </c>
      <c r="B257" s="6" t="s">
        <v>12</v>
      </c>
      <c r="C257" s="10">
        <v>46113</v>
      </c>
      <c r="D257" s="11" t="s">
        <v>12</v>
      </c>
      <c r="E257" s="5" t="s">
        <v>277</v>
      </c>
      <c r="F257" s="6" t="s">
        <v>51</v>
      </c>
      <c r="G257" s="6"/>
      <c r="H257" s="32">
        <v>46139.645168530093</v>
      </c>
      <c r="I257" s="7">
        <v>46139.645168518517</v>
      </c>
      <c r="J257" s="8" t="s">
        <v>5</v>
      </c>
      <c r="K257" s="9"/>
    </row>
    <row r="258" spans="1:11">
      <c r="A258" s="15">
        <f t="shared" si="6"/>
        <v>256</v>
      </c>
      <c r="B258" s="6" t="s">
        <v>12</v>
      </c>
      <c r="C258" s="10">
        <v>46113</v>
      </c>
      <c r="D258" s="11" t="s">
        <v>12</v>
      </c>
      <c r="E258" s="5" t="s">
        <v>278</v>
      </c>
      <c r="F258" s="6" t="s">
        <v>51</v>
      </c>
      <c r="G258" s="6"/>
      <c r="H258" s="32">
        <v>46139.645170474541</v>
      </c>
      <c r="I258" s="7">
        <v>46139.645170451389</v>
      </c>
      <c r="J258" s="8" t="s">
        <v>5</v>
      </c>
      <c r="K258" s="9"/>
    </row>
    <row r="259" spans="1:11" ht="25.5">
      <c r="A259" s="15">
        <f t="shared" si="6"/>
        <v>257</v>
      </c>
      <c r="B259" s="6" t="s">
        <v>12</v>
      </c>
      <c r="C259" s="10">
        <v>46113</v>
      </c>
      <c r="D259" s="11" t="s">
        <v>12</v>
      </c>
      <c r="E259" s="5" t="s">
        <v>279</v>
      </c>
      <c r="F259" s="6" t="s">
        <v>51</v>
      </c>
      <c r="G259" s="6"/>
      <c r="H259" s="32">
        <v>46139.645172430552</v>
      </c>
      <c r="I259" s="7">
        <v>46139.645172418983</v>
      </c>
      <c r="J259" s="8" t="s">
        <v>5</v>
      </c>
      <c r="K259" s="9"/>
    </row>
    <row r="260" spans="1:11" ht="25.5">
      <c r="A260" s="15">
        <f t="shared" si="6"/>
        <v>258</v>
      </c>
      <c r="B260" s="6" t="s">
        <v>12</v>
      </c>
      <c r="C260" s="10">
        <v>46113</v>
      </c>
      <c r="D260" s="11" t="s">
        <v>12</v>
      </c>
      <c r="E260" s="5" t="s">
        <v>280</v>
      </c>
      <c r="F260" s="6" t="s">
        <v>51</v>
      </c>
      <c r="G260" s="6"/>
      <c r="H260" s="32">
        <v>46139.645174745368</v>
      </c>
      <c r="I260" s="7">
        <v>46139.645174699079</v>
      </c>
      <c r="J260" s="8" t="s">
        <v>5</v>
      </c>
      <c r="K260" s="9"/>
    </row>
    <row r="261" spans="1:11">
      <c r="A261" s="15">
        <f t="shared" si="6"/>
        <v>259</v>
      </c>
      <c r="B261" s="6" t="s">
        <v>12</v>
      </c>
      <c r="C261" s="10">
        <v>46113</v>
      </c>
      <c r="D261" s="11" t="s">
        <v>12</v>
      </c>
      <c r="E261" s="5" t="s">
        <v>281</v>
      </c>
      <c r="F261" s="6" t="s">
        <v>51</v>
      </c>
      <c r="G261" s="6"/>
      <c r="H261" s="32">
        <v>46139.645176828708</v>
      </c>
      <c r="I261" s="7">
        <v>46139.645176805556</v>
      </c>
      <c r="J261" s="8" t="s">
        <v>5</v>
      </c>
      <c r="K261" s="9"/>
    </row>
    <row r="262" spans="1:11">
      <c r="A262" s="15">
        <f t="shared" si="6"/>
        <v>260</v>
      </c>
      <c r="B262" s="6" t="s">
        <v>12</v>
      </c>
      <c r="C262" s="10">
        <v>46113</v>
      </c>
      <c r="D262" s="11" t="s">
        <v>12</v>
      </c>
      <c r="E262" s="5" t="s">
        <v>282</v>
      </c>
      <c r="F262" s="6" t="s">
        <v>51</v>
      </c>
      <c r="G262" s="6"/>
      <c r="H262" s="32">
        <v>46139.645178854167</v>
      </c>
      <c r="I262" s="7">
        <v>46139.645178842591</v>
      </c>
      <c r="J262" s="8" t="s">
        <v>5</v>
      </c>
      <c r="K262" s="9"/>
    </row>
    <row r="263" spans="1:11">
      <c r="A263" s="15">
        <f t="shared" si="6"/>
        <v>261</v>
      </c>
      <c r="B263" s="6" t="s">
        <v>12</v>
      </c>
      <c r="C263" s="10">
        <v>46113</v>
      </c>
      <c r="D263" s="11" t="s">
        <v>12</v>
      </c>
      <c r="E263" s="5" t="s">
        <v>283</v>
      </c>
      <c r="F263" s="6" t="s">
        <v>51</v>
      </c>
      <c r="G263" s="6"/>
      <c r="H263" s="32">
        <v>46139.645180902779</v>
      </c>
      <c r="I263" s="7">
        <v>46139.645180891202</v>
      </c>
      <c r="J263" s="8" t="s">
        <v>5</v>
      </c>
      <c r="K263" s="9"/>
    </row>
    <row r="264" spans="1:11" ht="25.5">
      <c r="A264" s="15">
        <f t="shared" si="6"/>
        <v>262</v>
      </c>
      <c r="B264" s="6" t="s">
        <v>12</v>
      </c>
      <c r="C264" s="10">
        <v>46113</v>
      </c>
      <c r="D264" s="11" t="s">
        <v>12</v>
      </c>
      <c r="E264" s="5" t="s">
        <v>284</v>
      </c>
      <c r="F264" s="6" t="s">
        <v>51</v>
      </c>
      <c r="G264" s="6"/>
      <c r="H264" s="32">
        <v>46139.645182916662</v>
      </c>
      <c r="I264" s="7">
        <v>46139.645182905093</v>
      </c>
      <c r="J264" s="8" t="s">
        <v>5</v>
      </c>
      <c r="K264" s="9"/>
    </row>
    <row r="265" spans="1:11" ht="25.5">
      <c r="A265" s="15">
        <f t="shared" si="6"/>
        <v>263</v>
      </c>
      <c r="B265" s="6" t="s">
        <v>12</v>
      </c>
      <c r="C265" s="10">
        <v>46113</v>
      </c>
      <c r="D265" s="11" t="s">
        <v>12</v>
      </c>
      <c r="E265" s="5" t="s">
        <v>285</v>
      </c>
      <c r="F265" s="6" t="s">
        <v>51</v>
      </c>
      <c r="G265" s="6"/>
      <c r="H265" s="32">
        <v>46139.645185243055</v>
      </c>
      <c r="I265" s="7">
        <v>46139.645185231479</v>
      </c>
      <c r="J265" s="8" t="s">
        <v>5</v>
      </c>
      <c r="K265" s="9"/>
    </row>
    <row r="266" spans="1:11">
      <c r="A266" s="15">
        <f t="shared" si="6"/>
        <v>264</v>
      </c>
      <c r="B266" s="6" t="s">
        <v>12</v>
      </c>
      <c r="C266" s="10">
        <v>46113</v>
      </c>
      <c r="D266" s="11" t="s">
        <v>12</v>
      </c>
      <c r="E266" s="5" t="s">
        <v>286</v>
      </c>
      <c r="F266" s="6" t="s">
        <v>51</v>
      </c>
      <c r="G266" s="6"/>
      <c r="H266" s="32">
        <v>46139.645187303242</v>
      </c>
      <c r="I266" s="7">
        <v>46139.645187280097</v>
      </c>
      <c r="J266" s="8" t="s">
        <v>5</v>
      </c>
      <c r="K266" s="9"/>
    </row>
    <row r="267" spans="1:11">
      <c r="A267" s="15">
        <f t="shared" si="6"/>
        <v>265</v>
      </c>
      <c r="B267" s="6" t="s">
        <v>12</v>
      </c>
      <c r="C267" s="10">
        <v>46113</v>
      </c>
      <c r="D267" s="11" t="s">
        <v>12</v>
      </c>
      <c r="E267" s="5" t="s">
        <v>287</v>
      </c>
      <c r="F267" s="6" t="s">
        <v>51</v>
      </c>
      <c r="G267" s="6"/>
      <c r="H267" s="32">
        <v>46139.645189317132</v>
      </c>
      <c r="I267" s="7">
        <v>46139.645189305556</v>
      </c>
      <c r="J267" s="8" t="s">
        <v>5</v>
      </c>
      <c r="K267" s="9"/>
    </row>
    <row r="268" spans="1:11">
      <c r="A268" s="15">
        <f t="shared" si="6"/>
        <v>266</v>
      </c>
      <c r="B268" s="6" t="s">
        <v>12</v>
      </c>
      <c r="C268" s="10">
        <v>46113</v>
      </c>
      <c r="D268" s="11" t="s">
        <v>12</v>
      </c>
      <c r="E268" s="5" t="s">
        <v>288</v>
      </c>
      <c r="F268" s="6" t="s">
        <v>51</v>
      </c>
      <c r="G268" s="6"/>
      <c r="H268" s="32">
        <v>46139.645191446762</v>
      </c>
      <c r="I268" s="7">
        <v>46139.645191435186</v>
      </c>
      <c r="J268" s="8" t="s">
        <v>5</v>
      </c>
      <c r="K268" s="9"/>
    </row>
    <row r="269" spans="1:11" ht="25.5">
      <c r="A269" s="15">
        <f t="shared" si="6"/>
        <v>267</v>
      </c>
      <c r="B269" s="6" t="s">
        <v>12</v>
      </c>
      <c r="C269" s="10">
        <v>46113</v>
      </c>
      <c r="D269" s="11" t="s">
        <v>12</v>
      </c>
      <c r="E269" s="5" t="s">
        <v>289</v>
      </c>
      <c r="F269" s="6" t="s">
        <v>51</v>
      </c>
      <c r="G269" s="6"/>
      <c r="H269" s="32">
        <v>46139.645193414355</v>
      </c>
      <c r="I269" s="7">
        <v>46139.645193391203</v>
      </c>
      <c r="J269" s="8" t="s">
        <v>5</v>
      </c>
      <c r="K269" s="9"/>
    </row>
    <row r="270" spans="1:11">
      <c r="A270" s="15">
        <f t="shared" si="6"/>
        <v>268</v>
      </c>
      <c r="B270" s="6" t="s">
        <v>12</v>
      </c>
      <c r="C270" s="10">
        <v>46113</v>
      </c>
      <c r="D270" s="11" t="s">
        <v>12</v>
      </c>
      <c r="E270" s="5" t="s">
        <v>290</v>
      </c>
      <c r="F270" s="6" t="s">
        <v>51</v>
      </c>
      <c r="G270" s="6"/>
      <c r="H270" s="32">
        <v>46139.645195787038</v>
      </c>
      <c r="I270" s="7">
        <v>46139.645195775462</v>
      </c>
      <c r="J270" s="8" t="s">
        <v>5</v>
      </c>
      <c r="K270" s="9"/>
    </row>
    <row r="271" spans="1:11">
      <c r="A271" s="15">
        <f t="shared" si="6"/>
        <v>269</v>
      </c>
      <c r="B271" s="6" t="s">
        <v>12</v>
      </c>
      <c r="C271" s="10">
        <v>46113</v>
      </c>
      <c r="D271" s="11" t="s">
        <v>12</v>
      </c>
      <c r="E271" s="5" t="s">
        <v>292</v>
      </c>
      <c r="F271" s="6" t="s">
        <v>51</v>
      </c>
      <c r="G271" s="6"/>
      <c r="H271" s="32">
        <v>46139.645198043982</v>
      </c>
      <c r="I271" s="7">
        <v>46139.645198032405</v>
      </c>
      <c r="J271" s="8" t="s">
        <v>133</v>
      </c>
      <c r="K271" s="9"/>
    </row>
    <row r="272" spans="1:11" ht="51">
      <c r="A272" s="15">
        <f t="shared" si="6"/>
        <v>270</v>
      </c>
      <c r="B272" s="6" t="s">
        <v>12</v>
      </c>
      <c r="C272" s="10">
        <v>46113</v>
      </c>
      <c r="D272" s="11" t="s">
        <v>12</v>
      </c>
      <c r="E272" s="5" t="s">
        <v>294</v>
      </c>
      <c r="F272" s="6" t="s">
        <v>51</v>
      </c>
      <c r="G272" s="6"/>
      <c r="H272" s="32">
        <v>46139.645200358791</v>
      </c>
      <c r="I272" s="7">
        <v>46139.645200347222</v>
      </c>
      <c r="J272" s="8" t="s">
        <v>133</v>
      </c>
      <c r="K272" s="9"/>
    </row>
    <row r="273" spans="1:11" ht="25.5">
      <c r="A273" s="15">
        <f t="shared" si="6"/>
        <v>271</v>
      </c>
      <c r="B273" s="6" t="s">
        <v>12</v>
      </c>
      <c r="C273" s="10">
        <v>46113</v>
      </c>
      <c r="D273" s="11" t="s">
        <v>12</v>
      </c>
      <c r="E273" s="5" t="s">
        <v>295</v>
      </c>
      <c r="F273" s="6" t="s">
        <v>51</v>
      </c>
      <c r="G273" s="6"/>
      <c r="H273" s="32">
        <v>46139.645202488427</v>
      </c>
      <c r="I273" s="7">
        <v>46139.645202476851</v>
      </c>
      <c r="J273" s="8" t="s">
        <v>5</v>
      </c>
      <c r="K273" s="9"/>
    </row>
    <row r="274" spans="1:11" ht="25.5">
      <c r="A274" s="15">
        <f t="shared" si="6"/>
        <v>272</v>
      </c>
      <c r="B274" s="6" t="s">
        <v>12</v>
      </c>
      <c r="C274" s="10">
        <v>46113</v>
      </c>
      <c r="D274" s="11" t="s">
        <v>12</v>
      </c>
      <c r="E274" s="5" t="s">
        <v>296</v>
      </c>
      <c r="F274" s="6" t="s">
        <v>51</v>
      </c>
      <c r="G274" s="6"/>
      <c r="H274" s="32">
        <v>46139.645204375003</v>
      </c>
      <c r="I274" s="7">
        <v>46139.645204351851</v>
      </c>
      <c r="J274" s="8" t="s">
        <v>5</v>
      </c>
      <c r="K274" s="9"/>
    </row>
    <row r="275" spans="1:11">
      <c r="A275" s="15">
        <f t="shared" si="6"/>
        <v>273</v>
      </c>
      <c r="B275" s="6" t="s">
        <v>12</v>
      </c>
      <c r="C275" s="10">
        <v>46113</v>
      </c>
      <c r="D275" s="11" t="s">
        <v>12</v>
      </c>
      <c r="E275" s="5" t="s">
        <v>297</v>
      </c>
      <c r="F275" s="6" t="s">
        <v>51</v>
      </c>
      <c r="G275" s="6"/>
      <c r="H275" s="32">
        <v>46139.645206759262</v>
      </c>
      <c r="I275" s="7">
        <v>46139.645206747686</v>
      </c>
      <c r="J275" s="8" t="s">
        <v>5</v>
      </c>
      <c r="K275" s="9"/>
    </row>
    <row r="276" spans="1:11">
      <c r="A276" s="15">
        <f t="shared" si="6"/>
        <v>274</v>
      </c>
      <c r="B276" s="6" t="s">
        <v>12</v>
      </c>
      <c r="C276" s="10">
        <v>46113</v>
      </c>
      <c r="D276" s="11" t="s">
        <v>12</v>
      </c>
      <c r="E276" s="5" t="s">
        <v>298</v>
      </c>
      <c r="F276" s="6" t="s">
        <v>51</v>
      </c>
      <c r="G276" s="6"/>
      <c r="H276" s="32">
        <v>46139.645211921292</v>
      </c>
      <c r="I276" s="7">
        <v>46139.645211712967</v>
      </c>
      <c r="J276" s="8" t="s">
        <v>5</v>
      </c>
      <c r="K276" s="9"/>
    </row>
    <row r="277" spans="1:11">
      <c r="A277" s="15">
        <f t="shared" si="6"/>
        <v>275</v>
      </c>
      <c r="B277" s="6" t="s">
        <v>12</v>
      </c>
      <c r="C277" s="10">
        <v>46113</v>
      </c>
      <c r="D277" s="11" t="s">
        <v>12</v>
      </c>
      <c r="E277" s="5" t="s">
        <v>299</v>
      </c>
      <c r="F277" s="6" t="s">
        <v>51</v>
      </c>
      <c r="G277" s="6"/>
      <c r="H277" s="32">
        <v>46139.645215266202</v>
      </c>
      <c r="I277" s="7">
        <v>46139.645215243057</v>
      </c>
      <c r="J277" s="8" t="s">
        <v>5</v>
      </c>
      <c r="K277" s="9"/>
    </row>
    <row r="278" spans="1:11">
      <c r="A278" s="15">
        <f t="shared" si="6"/>
        <v>276</v>
      </c>
      <c r="B278" s="6" t="s">
        <v>12</v>
      </c>
      <c r="C278" s="10">
        <v>46113</v>
      </c>
      <c r="D278" s="11" t="s">
        <v>12</v>
      </c>
      <c r="E278" s="5" t="s">
        <v>300</v>
      </c>
      <c r="F278" s="6" t="s">
        <v>51</v>
      </c>
      <c r="G278" s="6"/>
      <c r="H278" s="32">
        <v>46139.645217210651</v>
      </c>
      <c r="I278" s="7">
        <v>46139.645217199075</v>
      </c>
      <c r="J278" s="8" t="s">
        <v>5</v>
      </c>
      <c r="K278" s="9"/>
    </row>
    <row r="279" spans="1:11" ht="25.5">
      <c r="A279" s="15">
        <f t="shared" si="6"/>
        <v>277</v>
      </c>
      <c r="B279" s="6" t="s">
        <v>12</v>
      </c>
      <c r="C279" s="10">
        <v>46113</v>
      </c>
      <c r="D279" s="11" t="s">
        <v>12</v>
      </c>
      <c r="E279" s="5" t="s">
        <v>301</v>
      </c>
      <c r="F279" s="6" t="s">
        <v>51</v>
      </c>
      <c r="G279" s="6"/>
      <c r="H279" s="32">
        <v>46139.64521913194</v>
      </c>
      <c r="I279" s="7">
        <v>46139.645219120372</v>
      </c>
      <c r="J279" s="8" t="s">
        <v>5</v>
      </c>
      <c r="K279" s="9"/>
    </row>
    <row r="280" spans="1:11">
      <c r="A280" s="15">
        <f t="shared" si="6"/>
        <v>278</v>
      </c>
      <c r="B280" s="6" t="s">
        <v>12</v>
      </c>
      <c r="C280" s="10">
        <v>46113</v>
      </c>
      <c r="D280" s="11" t="s">
        <v>12</v>
      </c>
      <c r="E280" s="5" t="s">
        <v>302</v>
      </c>
      <c r="F280" s="6" t="s">
        <v>51</v>
      </c>
      <c r="G280" s="6"/>
      <c r="H280" s="32">
        <v>46139.645221319442</v>
      </c>
      <c r="I280" s="7">
        <v>46139.645221307874</v>
      </c>
      <c r="J280" s="8" t="s">
        <v>5</v>
      </c>
      <c r="K280" s="9"/>
    </row>
    <row r="281" spans="1:11">
      <c r="A281" s="15">
        <f t="shared" si="6"/>
        <v>279</v>
      </c>
      <c r="B281" s="6" t="s">
        <v>12</v>
      </c>
      <c r="C281" s="10">
        <v>46113</v>
      </c>
      <c r="D281" s="11" t="s">
        <v>12</v>
      </c>
      <c r="E281" s="5" t="s">
        <v>303</v>
      </c>
      <c r="F281" s="6" t="s">
        <v>51</v>
      </c>
      <c r="G281" s="6"/>
      <c r="H281" s="32">
        <v>46139.646208784718</v>
      </c>
      <c r="I281" s="7">
        <v>46195.598697488429</v>
      </c>
      <c r="J281" s="8" t="s">
        <v>5</v>
      </c>
      <c r="K281" s="9"/>
    </row>
    <row r="282" spans="1:11">
      <c r="A282" s="15">
        <f t="shared" si="6"/>
        <v>280</v>
      </c>
      <c r="B282" s="6" t="s">
        <v>17</v>
      </c>
      <c r="C282" s="10">
        <v>46113</v>
      </c>
      <c r="D282" s="11" t="s">
        <v>251</v>
      </c>
      <c r="E282" s="5" t="s">
        <v>304</v>
      </c>
      <c r="F282" s="6" t="s">
        <v>305</v>
      </c>
      <c r="G282" s="6"/>
      <c r="H282" s="32">
        <v>46114.658455092591</v>
      </c>
      <c r="I282" s="7">
        <v>46122.372703854169</v>
      </c>
      <c r="J282" s="8" t="s">
        <v>5</v>
      </c>
      <c r="K282" s="9"/>
    </row>
    <row r="283" spans="1:11">
      <c r="A283" s="15">
        <f t="shared" si="6"/>
        <v>281</v>
      </c>
      <c r="B283" s="6" t="s">
        <v>17</v>
      </c>
      <c r="C283" s="10">
        <v>46113</v>
      </c>
      <c r="D283" s="11" t="s">
        <v>165</v>
      </c>
      <c r="E283" s="5" t="s">
        <v>253</v>
      </c>
      <c r="F283" s="6" t="s">
        <v>254</v>
      </c>
      <c r="G283" s="6"/>
      <c r="H283" s="32">
        <v>46114.658422638888</v>
      </c>
      <c r="I283" s="7">
        <v>46122.372712673612</v>
      </c>
      <c r="J283" s="8" t="s">
        <v>5</v>
      </c>
      <c r="K283" s="9"/>
    </row>
    <row r="284" spans="1:11">
      <c r="A284" s="15">
        <f t="shared" si="6"/>
        <v>282</v>
      </c>
      <c r="B284" s="6" t="s">
        <v>17</v>
      </c>
      <c r="C284" s="10">
        <v>46113</v>
      </c>
      <c r="D284" s="11" t="s">
        <v>251</v>
      </c>
      <c r="E284" s="5" t="s">
        <v>252</v>
      </c>
      <c r="F284" s="6" t="s">
        <v>305</v>
      </c>
      <c r="G284" s="6"/>
      <c r="H284" s="32">
        <v>46114.658418321764</v>
      </c>
      <c r="I284" s="7">
        <v>46122.372722604166</v>
      </c>
      <c r="J284" s="8" t="s">
        <v>5</v>
      </c>
      <c r="K284" s="9"/>
    </row>
    <row r="285" spans="1:11">
      <c r="A285" s="15">
        <f t="shared" si="6"/>
        <v>283</v>
      </c>
      <c r="B285" s="6" t="s">
        <v>17</v>
      </c>
      <c r="C285" s="10">
        <v>46113</v>
      </c>
      <c r="D285" s="11" t="s">
        <v>251</v>
      </c>
      <c r="E285" s="5" t="s">
        <v>260</v>
      </c>
      <c r="F285" s="6" t="s">
        <v>305</v>
      </c>
      <c r="G285" s="6"/>
      <c r="H285" s="32">
        <v>46114.658413738427</v>
      </c>
      <c r="I285" s="7">
        <v>46122.372731041665</v>
      </c>
      <c r="J285" s="8" t="s">
        <v>5</v>
      </c>
      <c r="K285" s="9"/>
    </row>
    <row r="286" spans="1:11">
      <c r="A286" s="15">
        <f t="shared" si="6"/>
        <v>284</v>
      </c>
      <c r="B286" s="6" t="s">
        <v>17</v>
      </c>
      <c r="C286" s="10">
        <v>46113</v>
      </c>
      <c r="D286" s="11" t="s">
        <v>165</v>
      </c>
      <c r="E286" s="5" t="s">
        <v>255</v>
      </c>
      <c r="F286" s="6" t="s">
        <v>69</v>
      </c>
      <c r="G286" s="6"/>
      <c r="H286" s="32">
        <v>46114.658426689813</v>
      </c>
      <c r="I286" s="7">
        <v>46122.372844826386</v>
      </c>
      <c r="J286" s="8" t="s">
        <v>5</v>
      </c>
      <c r="K286" s="9"/>
    </row>
    <row r="287" spans="1:11" ht="25.5">
      <c r="A287" s="15">
        <f t="shared" si="6"/>
        <v>285</v>
      </c>
      <c r="B287" s="6" t="s">
        <v>17</v>
      </c>
      <c r="C287" s="10">
        <v>46113</v>
      </c>
      <c r="D287" s="11" t="s">
        <v>165</v>
      </c>
      <c r="E287" s="5" t="s">
        <v>306</v>
      </c>
      <c r="F287" s="6" t="s">
        <v>51</v>
      </c>
      <c r="G287" s="6"/>
      <c r="H287" s="32">
        <v>46114.658407766205</v>
      </c>
      <c r="I287" s="7">
        <v>46122.372779270838</v>
      </c>
      <c r="J287" s="8" t="s">
        <v>5</v>
      </c>
      <c r="K287" s="9"/>
    </row>
    <row r="288" spans="1:11">
      <c r="A288" s="15">
        <f t="shared" si="6"/>
        <v>286</v>
      </c>
      <c r="B288" s="6" t="s">
        <v>17</v>
      </c>
      <c r="C288" s="10">
        <v>46113</v>
      </c>
      <c r="D288" s="11" t="s">
        <v>165</v>
      </c>
      <c r="E288" s="5" t="s">
        <v>307</v>
      </c>
      <c r="F288" s="6" t="s">
        <v>305</v>
      </c>
      <c r="G288" s="6"/>
      <c r="H288" s="32">
        <v>46114.66164283565</v>
      </c>
      <c r="I288" s="7">
        <v>46139.421465949075</v>
      </c>
      <c r="J288" s="8" t="s">
        <v>5</v>
      </c>
      <c r="K288" s="9"/>
    </row>
    <row r="289" spans="1:11">
      <c r="A289" s="15">
        <f t="shared" si="6"/>
        <v>287</v>
      </c>
      <c r="B289" s="6" t="s">
        <v>17</v>
      </c>
      <c r="C289" s="10">
        <v>46113</v>
      </c>
      <c r="D289" s="11" t="s">
        <v>251</v>
      </c>
      <c r="E289" s="5" t="s">
        <v>308</v>
      </c>
      <c r="F289" s="6" t="s">
        <v>305</v>
      </c>
      <c r="G289" s="6"/>
      <c r="H289" s="32">
        <v>46114.661874386569</v>
      </c>
      <c r="I289" s="7">
        <v>46139.421474259259</v>
      </c>
      <c r="J289" s="8" t="s">
        <v>5</v>
      </c>
      <c r="K289" s="9"/>
    </row>
    <row r="290" spans="1:11" ht="63.75">
      <c r="A290" s="15">
        <f t="shared" si="6"/>
        <v>288</v>
      </c>
      <c r="B290" s="6" t="s">
        <v>19</v>
      </c>
      <c r="C290" s="10">
        <v>46082</v>
      </c>
      <c r="D290" s="11" t="s">
        <v>165</v>
      </c>
      <c r="E290" s="5" t="s">
        <v>309</v>
      </c>
      <c r="F290" s="6" t="s">
        <v>51</v>
      </c>
      <c r="G290" s="6"/>
      <c r="H290" s="32">
        <v>46086.738539837963</v>
      </c>
      <c r="I290" s="7">
        <v>46114.664544189814</v>
      </c>
      <c r="J290" s="8" t="s">
        <v>5</v>
      </c>
      <c r="K290" s="9"/>
    </row>
    <row r="291" spans="1:11">
      <c r="A291" s="15">
        <f t="shared" si="6"/>
        <v>289</v>
      </c>
      <c r="B291" s="6" t="s">
        <v>19</v>
      </c>
      <c r="C291" s="10">
        <v>46082</v>
      </c>
      <c r="D291" s="11" t="s">
        <v>251</v>
      </c>
      <c r="E291" s="5" t="s">
        <v>260</v>
      </c>
      <c r="F291" s="6" t="s">
        <v>305</v>
      </c>
      <c r="G291" s="6"/>
      <c r="H291" s="32">
        <v>46086.738474328704</v>
      </c>
      <c r="I291" s="7">
        <v>46114.664568587963</v>
      </c>
      <c r="J291" s="8" t="s">
        <v>5</v>
      </c>
      <c r="K291" s="9"/>
    </row>
    <row r="292" spans="1:11">
      <c r="A292" s="15">
        <f t="shared" si="6"/>
        <v>290</v>
      </c>
      <c r="B292" s="6" t="s">
        <v>19</v>
      </c>
      <c r="C292" s="10">
        <v>46082</v>
      </c>
      <c r="D292" s="11" t="s">
        <v>251</v>
      </c>
      <c r="E292" s="5" t="s">
        <v>252</v>
      </c>
      <c r="F292" s="6" t="s">
        <v>305</v>
      </c>
      <c r="G292" s="6"/>
      <c r="H292" s="32">
        <v>46086.738470243057</v>
      </c>
      <c r="I292" s="7">
        <v>46114.664596886578</v>
      </c>
      <c r="J292" s="8" t="s">
        <v>5</v>
      </c>
      <c r="K292" s="9"/>
    </row>
    <row r="293" spans="1:11">
      <c r="A293" s="15">
        <f t="shared" si="6"/>
        <v>291</v>
      </c>
      <c r="B293" s="6" t="s">
        <v>19</v>
      </c>
      <c r="C293" s="10">
        <v>46082</v>
      </c>
      <c r="D293" s="11" t="s">
        <v>165</v>
      </c>
      <c r="E293" s="5" t="s">
        <v>253</v>
      </c>
      <c r="F293" s="6" t="s">
        <v>254</v>
      </c>
      <c r="G293" s="6"/>
      <c r="H293" s="32">
        <v>46086.738466296301</v>
      </c>
      <c r="I293" s="7">
        <v>46086.738473530088</v>
      </c>
      <c r="J293" s="8" t="s">
        <v>5</v>
      </c>
      <c r="K293" s="9"/>
    </row>
    <row r="294" spans="1:11">
      <c r="A294" s="15">
        <f t="shared" si="6"/>
        <v>292</v>
      </c>
      <c r="B294" s="6" t="s">
        <v>19</v>
      </c>
      <c r="C294" s="10">
        <v>46082</v>
      </c>
      <c r="D294" s="11" t="s">
        <v>165</v>
      </c>
      <c r="E294" s="5" t="s">
        <v>255</v>
      </c>
      <c r="F294" s="6" t="s">
        <v>69</v>
      </c>
      <c r="G294" s="6"/>
      <c r="H294" s="32">
        <v>46086.738460428242</v>
      </c>
      <c r="I294" s="7">
        <v>46114.664626412035</v>
      </c>
      <c r="J294" s="8" t="s">
        <v>5</v>
      </c>
      <c r="K294" s="9"/>
    </row>
    <row r="295" spans="1:11">
      <c r="A295" s="15">
        <f t="shared" si="6"/>
        <v>293</v>
      </c>
      <c r="B295" s="6" t="s">
        <v>19</v>
      </c>
      <c r="C295" s="10">
        <v>46082</v>
      </c>
      <c r="D295" s="11" t="s">
        <v>251</v>
      </c>
      <c r="E295" s="5" t="s">
        <v>257</v>
      </c>
      <c r="F295" s="6" t="s">
        <v>305</v>
      </c>
      <c r="G295" s="6"/>
      <c r="H295" s="32">
        <v>46086.738455312501</v>
      </c>
      <c r="I295" s="7">
        <v>46086.738462789348</v>
      </c>
      <c r="J295" s="8" t="s">
        <v>5</v>
      </c>
      <c r="K295" s="9"/>
    </row>
    <row r="296" spans="1:11">
      <c r="A296" s="15">
        <f t="shared" si="6"/>
        <v>294</v>
      </c>
      <c r="B296" s="6" t="s">
        <v>14</v>
      </c>
      <c r="C296" s="10">
        <v>46082</v>
      </c>
      <c r="D296" s="11" t="s">
        <v>165</v>
      </c>
      <c r="E296" s="5" t="s">
        <v>310</v>
      </c>
      <c r="F296" s="6" t="s">
        <v>51</v>
      </c>
      <c r="G296" s="6"/>
      <c r="H296" s="32">
        <v>46087.354900416671</v>
      </c>
      <c r="I296" s="7"/>
      <c r="J296" s="8" t="s">
        <v>5</v>
      </c>
      <c r="K296" s="9"/>
    </row>
    <row r="297" spans="1:11">
      <c r="A297" s="15">
        <f t="shared" si="6"/>
        <v>295</v>
      </c>
      <c r="B297" s="6" t="s">
        <v>14</v>
      </c>
      <c r="C297" s="10">
        <v>46082</v>
      </c>
      <c r="D297" s="11" t="s">
        <v>165</v>
      </c>
      <c r="E297" s="5" t="s">
        <v>311</v>
      </c>
      <c r="F297" s="6" t="s">
        <v>51</v>
      </c>
      <c r="G297" s="6"/>
      <c r="H297" s="32">
        <v>46087.373216874999</v>
      </c>
      <c r="I297" s="7"/>
      <c r="J297" s="8" t="s">
        <v>4</v>
      </c>
      <c r="K297" s="9"/>
    </row>
    <row r="298" spans="1:11">
      <c r="A298" s="15">
        <f t="shared" si="6"/>
        <v>296</v>
      </c>
      <c r="B298" s="6" t="s">
        <v>14</v>
      </c>
      <c r="C298" s="10">
        <v>46082</v>
      </c>
      <c r="D298" s="11" t="s">
        <v>165</v>
      </c>
      <c r="E298" s="5" t="s">
        <v>312</v>
      </c>
      <c r="F298" s="6" t="s">
        <v>51</v>
      </c>
      <c r="G298" s="6"/>
      <c r="H298" s="32">
        <v>46087.373239386579</v>
      </c>
      <c r="I298" s="7"/>
      <c r="J298" s="8" t="s">
        <v>4</v>
      </c>
      <c r="K298" s="9"/>
    </row>
    <row r="299" spans="1:11">
      <c r="A299" s="15">
        <f t="shared" si="6"/>
        <v>297</v>
      </c>
      <c r="B299" s="6" t="s">
        <v>14</v>
      </c>
      <c r="C299" s="10">
        <v>46082</v>
      </c>
      <c r="D299" s="11" t="s">
        <v>165</v>
      </c>
      <c r="E299" s="5" t="s">
        <v>313</v>
      </c>
      <c r="F299" s="6" t="s">
        <v>51</v>
      </c>
      <c r="G299" s="6"/>
      <c r="H299" s="32">
        <v>46087.373239722219</v>
      </c>
      <c r="I299" s="7"/>
      <c r="J299" s="8" t="s">
        <v>4</v>
      </c>
      <c r="K299" s="9"/>
    </row>
    <row r="300" spans="1:11">
      <c r="A300" s="15">
        <f t="shared" si="6"/>
        <v>298</v>
      </c>
      <c r="B300" s="6" t="s">
        <v>14</v>
      </c>
      <c r="C300" s="10">
        <v>46082</v>
      </c>
      <c r="D300" s="11" t="s">
        <v>165</v>
      </c>
      <c r="E300" s="5" t="s">
        <v>314</v>
      </c>
      <c r="F300" s="6" t="s">
        <v>51</v>
      </c>
      <c r="G300" s="6"/>
      <c r="H300" s="32">
        <v>46087.373240347224</v>
      </c>
      <c r="I300" s="7"/>
      <c r="J300" s="8" t="s">
        <v>4</v>
      </c>
      <c r="K300" s="9"/>
    </row>
    <row r="301" spans="1:11">
      <c r="A301" s="15">
        <f t="shared" si="6"/>
        <v>299</v>
      </c>
      <c r="B301" s="6" t="s">
        <v>14</v>
      </c>
      <c r="C301" s="10">
        <v>46082</v>
      </c>
      <c r="D301" s="11" t="s">
        <v>165</v>
      </c>
      <c r="E301" s="5" t="s">
        <v>315</v>
      </c>
      <c r="F301" s="6" t="s">
        <v>51</v>
      </c>
      <c r="G301" s="6"/>
      <c r="H301" s="32">
        <v>46087.373240624998</v>
      </c>
      <c r="I301" s="7"/>
      <c r="J301" s="8" t="s">
        <v>4</v>
      </c>
      <c r="K301" s="9"/>
    </row>
    <row r="302" spans="1:11">
      <c r="A302" s="15">
        <f t="shared" si="6"/>
        <v>300</v>
      </c>
      <c r="B302" s="6" t="s">
        <v>14</v>
      </c>
      <c r="C302" s="10">
        <v>46082</v>
      </c>
      <c r="D302" s="11" t="s">
        <v>165</v>
      </c>
      <c r="E302" s="5" t="s">
        <v>316</v>
      </c>
      <c r="F302" s="6" t="s">
        <v>51</v>
      </c>
      <c r="G302" s="6"/>
      <c r="H302" s="32">
        <v>46087.37324134259</v>
      </c>
      <c r="I302" s="7"/>
      <c r="J302" s="8" t="s">
        <v>4</v>
      </c>
      <c r="K302" s="9"/>
    </row>
    <row r="303" spans="1:11">
      <c r="A303" s="15">
        <f t="shared" si="6"/>
        <v>301</v>
      </c>
      <c r="B303" s="6" t="s">
        <v>14</v>
      </c>
      <c r="C303" s="10">
        <v>46082</v>
      </c>
      <c r="D303" s="11" t="s">
        <v>165</v>
      </c>
      <c r="E303" s="5" t="s">
        <v>317</v>
      </c>
      <c r="F303" s="6" t="s">
        <v>51</v>
      </c>
      <c r="G303" s="6"/>
      <c r="H303" s="32">
        <v>46087.373241666668</v>
      </c>
      <c r="I303" s="7"/>
      <c r="J303" s="8" t="s">
        <v>4</v>
      </c>
      <c r="K303" s="9"/>
    </row>
    <row r="304" spans="1:11">
      <c r="A304" s="15">
        <f t="shared" si="6"/>
        <v>302</v>
      </c>
      <c r="B304" s="6" t="s">
        <v>14</v>
      </c>
      <c r="C304" s="10">
        <v>46082</v>
      </c>
      <c r="D304" s="11" t="s">
        <v>165</v>
      </c>
      <c r="E304" s="5" t="s">
        <v>318</v>
      </c>
      <c r="F304" s="6" t="s">
        <v>51</v>
      </c>
      <c r="G304" s="6"/>
      <c r="H304" s="32">
        <v>46087.373242349538</v>
      </c>
      <c r="I304" s="7"/>
      <c r="J304" s="8" t="s">
        <v>4</v>
      </c>
      <c r="K304" s="9"/>
    </row>
    <row r="305" spans="1:11">
      <c r="A305" s="15">
        <f t="shared" si="6"/>
        <v>303</v>
      </c>
      <c r="B305" s="6" t="s">
        <v>14</v>
      </c>
      <c r="C305" s="10">
        <v>46082</v>
      </c>
      <c r="D305" s="11" t="s">
        <v>165</v>
      </c>
      <c r="E305" s="5" t="s">
        <v>319</v>
      </c>
      <c r="F305" s="6" t="s">
        <v>51</v>
      </c>
      <c r="G305" s="6"/>
      <c r="H305" s="32">
        <v>46087.354914108801</v>
      </c>
      <c r="I305" s="7"/>
      <c r="J305" s="8" t="s">
        <v>4</v>
      </c>
      <c r="K305" s="9"/>
    </row>
    <row r="306" spans="1:11">
      <c r="A306" s="15">
        <f t="shared" si="6"/>
        <v>304</v>
      </c>
      <c r="B306" s="6" t="s">
        <v>14</v>
      </c>
      <c r="C306" s="10">
        <v>46082</v>
      </c>
      <c r="D306" s="11" t="s">
        <v>165</v>
      </c>
      <c r="E306" s="5" t="s">
        <v>320</v>
      </c>
      <c r="F306" s="6" t="s">
        <v>51</v>
      </c>
      <c r="G306" s="6"/>
      <c r="H306" s="32">
        <v>46087.354915034724</v>
      </c>
      <c r="I306" s="7"/>
      <c r="J306" s="8" t="s">
        <v>4</v>
      </c>
      <c r="K306" s="9"/>
    </row>
    <row r="307" spans="1:11">
      <c r="A307" s="15">
        <f t="shared" ref="A307:A370" si="7">A306+1</f>
        <v>305</v>
      </c>
      <c r="B307" s="6" t="s">
        <v>14</v>
      </c>
      <c r="C307" s="10">
        <v>46082</v>
      </c>
      <c r="D307" s="11" t="s">
        <v>165</v>
      </c>
      <c r="E307" s="5" t="s">
        <v>321</v>
      </c>
      <c r="F307" s="6" t="s">
        <v>51</v>
      </c>
      <c r="G307" s="6"/>
      <c r="H307" s="32">
        <v>46087.35491587963</v>
      </c>
      <c r="I307" s="7"/>
      <c r="J307" s="8" t="s">
        <v>4</v>
      </c>
      <c r="K307" s="9"/>
    </row>
    <row r="308" spans="1:11">
      <c r="A308" s="15">
        <f t="shared" si="7"/>
        <v>306</v>
      </c>
      <c r="B308" s="6" t="s">
        <v>14</v>
      </c>
      <c r="C308" s="10">
        <v>46082</v>
      </c>
      <c r="D308" s="11" t="s">
        <v>165</v>
      </c>
      <c r="E308" s="5" t="s">
        <v>322</v>
      </c>
      <c r="F308" s="6" t="s">
        <v>51</v>
      </c>
      <c r="G308" s="6"/>
      <c r="H308" s="32">
        <v>46087.354916875003</v>
      </c>
      <c r="I308" s="7"/>
      <c r="J308" s="8" t="s">
        <v>4</v>
      </c>
      <c r="K308" s="9"/>
    </row>
    <row r="309" spans="1:11">
      <c r="A309" s="15">
        <f t="shared" si="7"/>
        <v>307</v>
      </c>
      <c r="B309" s="6" t="s">
        <v>14</v>
      </c>
      <c r="C309" s="10">
        <v>46082</v>
      </c>
      <c r="D309" s="11" t="s">
        <v>165</v>
      </c>
      <c r="E309" s="5" t="s">
        <v>323</v>
      </c>
      <c r="F309" s="6" t="s">
        <v>51</v>
      </c>
      <c r="G309" s="6"/>
      <c r="H309" s="32">
        <v>46087.354917800927</v>
      </c>
      <c r="I309" s="7"/>
      <c r="J309" s="8" t="s">
        <v>4</v>
      </c>
      <c r="K309" s="9"/>
    </row>
    <row r="310" spans="1:11">
      <c r="A310" s="15">
        <f t="shared" si="7"/>
        <v>308</v>
      </c>
      <c r="B310" s="6" t="s">
        <v>14</v>
      </c>
      <c r="C310" s="10">
        <v>46082</v>
      </c>
      <c r="D310" s="11" t="s">
        <v>165</v>
      </c>
      <c r="E310" s="5" t="s">
        <v>324</v>
      </c>
      <c r="F310" s="6" t="s">
        <v>51</v>
      </c>
      <c r="G310" s="6"/>
      <c r="H310" s="32">
        <v>46087.354918715282</v>
      </c>
      <c r="I310" s="7"/>
      <c r="J310" s="8" t="s">
        <v>4</v>
      </c>
      <c r="K310" s="9"/>
    </row>
    <row r="311" spans="1:11">
      <c r="A311" s="15">
        <f t="shared" si="7"/>
        <v>309</v>
      </c>
      <c r="B311" s="6" t="s">
        <v>14</v>
      </c>
      <c r="C311" s="10">
        <v>46082</v>
      </c>
      <c r="D311" s="11" t="s">
        <v>165</v>
      </c>
      <c r="E311" s="5" t="s">
        <v>325</v>
      </c>
      <c r="F311" s="6" t="s">
        <v>51</v>
      </c>
      <c r="G311" s="6"/>
      <c r="H311" s="32">
        <v>46087.354919756945</v>
      </c>
      <c r="I311" s="7"/>
      <c r="J311" s="8" t="s">
        <v>4</v>
      </c>
      <c r="K311" s="9"/>
    </row>
    <row r="312" spans="1:11">
      <c r="A312" s="15">
        <f t="shared" si="7"/>
        <v>310</v>
      </c>
      <c r="B312" s="6" t="s">
        <v>14</v>
      </c>
      <c r="C312" s="10">
        <v>46082</v>
      </c>
      <c r="D312" s="11" t="s">
        <v>165</v>
      </c>
      <c r="E312" s="5" t="s">
        <v>326</v>
      </c>
      <c r="F312" s="6" t="s">
        <v>51</v>
      </c>
      <c r="G312" s="6"/>
      <c r="H312" s="32">
        <v>46087.354920682876</v>
      </c>
      <c r="I312" s="7"/>
      <c r="J312" s="8" t="s">
        <v>4</v>
      </c>
      <c r="K312" s="9"/>
    </row>
    <row r="313" spans="1:11">
      <c r="A313" s="15">
        <f t="shared" si="7"/>
        <v>311</v>
      </c>
      <c r="B313" s="6" t="s">
        <v>14</v>
      </c>
      <c r="C313" s="10">
        <v>46082</v>
      </c>
      <c r="D313" s="11" t="s">
        <v>165</v>
      </c>
      <c r="E313" s="5" t="s">
        <v>327</v>
      </c>
      <c r="F313" s="6" t="s">
        <v>51</v>
      </c>
      <c r="G313" s="6"/>
      <c r="H313" s="32">
        <v>46087.354921747683</v>
      </c>
      <c r="I313" s="7"/>
      <c r="J313" s="8" t="s">
        <v>4</v>
      </c>
      <c r="K313" s="9"/>
    </row>
    <row r="314" spans="1:11">
      <c r="A314" s="15">
        <f t="shared" si="7"/>
        <v>312</v>
      </c>
      <c r="B314" s="6" t="s">
        <v>14</v>
      </c>
      <c r="C314" s="10">
        <v>46082</v>
      </c>
      <c r="D314" s="11" t="s">
        <v>165</v>
      </c>
      <c r="E314" s="5" t="s">
        <v>328</v>
      </c>
      <c r="F314" s="6" t="s">
        <v>51</v>
      </c>
      <c r="G314" s="6"/>
      <c r="H314" s="32">
        <v>46087.35492293982</v>
      </c>
      <c r="I314" s="7"/>
      <c r="J314" s="8" t="s">
        <v>4</v>
      </c>
      <c r="K314" s="9"/>
    </row>
    <row r="315" spans="1:11">
      <c r="A315" s="15">
        <f t="shared" si="7"/>
        <v>313</v>
      </c>
      <c r="B315" s="6" t="s">
        <v>14</v>
      </c>
      <c r="C315" s="10">
        <v>46082</v>
      </c>
      <c r="D315" s="11" t="s">
        <v>165</v>
      </c>
      <c r="E315" s="5" t="s">
        <v>329</v>
      </c>
      <c r="F315" s="6" t="s">
        <v>51</v>
      </c>
      <c r="G315" s="6"/>
      <c r="H315" s="32">
        <v>46087.354923958337</v>
      </c>
      <c r="I315" s="7"/>
      <c r="J315" s="8" t="s">
        <v>4</v>
      </c>
      <c r="K315" s="9"/>
    </row>
    <row r="316" spans="1:11">
      <c r="A316" s="15">
        <f t="shared" si="7"/>
        <v>314</v>
      </c>
      <c r="B316" s="6" t="s">
        <v>14</v>
      </c>
      <c r="C316" s="10">
        <v>46082</v>
      </c>
      <c r="D316" s="11" t="s">
        <v>165</v>
      </c>
      <c r="E316" s="5" t="s">
        <v>330</v>
      </c>
      <c r="F316" s="6" t="s">
        <v>51</v>
      </c>
      <c r="G316" s="6"/>
      <c r="H316" s="32">
        <v>46087.354925023144</v>
      </c>
      <c r="I316" s="7"/>
      <c r="J316" s="8" t="s">
        <v>4</v>
      </c>
      <c r="K316" s="9"/>
    </row>
    <row r="317" spans="1:11">
      <c r="A317" s="15">
        <f t="shared" si="7"/>
        <v>315</v>
      </c>
      <c r="B317" s="6" t="s">
        <v>14</v>
      </c>
      <c r="C317" s="10">
        <v>46082</v>
      </c>
      <c r="D317" s="11" t="s">
        <v>165</v>
      </c>
      <c r="E317" s="5" t="s">
        <v>331</v>
      </c>
      <c r="F317" s="6" t="s">
        <v>51</v>
      </c>
      <c r="G317" s="6"/>
      <c r="H317" s="32">
        <v>46087.354925949076</v>
      </c>
      <c r="I317" s="7"/>
      <c r="J317" s="8" t="s">
        <v>4</v>
      </c>
      <c r="K317" s="9"/>
    </row>
    <row r="318" spans="1:11">
      <c r="A318" s="15">
        <f t="shared" si="7"/>
        <v>316</v>
      </c>
      <c r="B318" s="6" t="s">
        <v>14</v>
      </c>
      <c r="C318" s="10">
        <v>46082</v>
      </c>
      <c r="D318" s="11" t="s">
        <v>165</v>
      </c>
      <c r="E318" s="5" t="s">
        <v>332</v>
      </c>
      <c r="F318" s="6" t="s">
        <v>51</v>
      </c>
      <c r="G318" s="6"/>
      <c r="H318" s="32">
        <v>46087.354926921296</v>
      </c>
      <c r="I318" s="7"/>
      <c r="J318" s="8" t="s">
        <v>4</v>
      </c>
      <c r="K318" s="9"/>
    </row>
    <row r="319" spans="1:11">
      <c r="A319" s="15">
        <f t="shared" si="7"/>
        <v>317</v>
      </c>
      <c r="B319" s="6" t="s">
        <v>14</v>
      </c>
      <c r="C319" s="10">
        <v>46082</v>
      </c>
      <c r="D319" s="11" t="s">
        <v>165</v>
      </c>
      <c r="E319" s="5" t="s">
        <v>333</v>
      </c>
      <c r="F319" s="6" t="s">
        <v>51</v>
      </c>
      <c r="G319" s="6"/>
      <c r="H319" s="32">
        <v>46087.354927835651</v>
      </c>
      <c r="I319" s="7"/>
      <c r="J319" s="8" t="s">
        <v>4</v>
      </c>
      <c r="K319" s="9"/>
    </row>
    <row r="320" spans="1:11">
      <c r="A320" s="15">
        <f t="shared" si="7"/>
        <v>318</v>
      </c>
      <c r="B320" s="6" t="s">
        <v>14</v>
      </c>
      <c r="C320" s="10">
        <v>46082</v>
      </c>
      <c r="D320" s="11" t="s">
        <v>165</v>
      </c>
      <c r="E320" s="5" t="s">
        <v>334</v>
      </c>
      <c r="F320" s="6" t="s">
        <v>51</v>
      </c>
      <c r="G320" s="6"/>
      <c r="H320" s="32">
        <v>46087.354928703702</v>
      </c>
      <c r="I320" s="7"/>
      <c r="J320" s="8" t="s">
        <v>4</v>
      </c>
      <c r="K320" s="9"/>
    </row>
    <row r="321" spans="1:11">
      <c r="A321" s="15">
        <f t="shared" si="7"/>
        <v>319</v>
      </c>
      <c r="B321" s="6" t="s">
        <v>14</v>
      </c>
      <c r="C321" s="10">
        <v>46082</v>
      </c>
      <c r="D321" s="11" t="s">
        <v>165</v>
      </c>
      <c r="E321" s="5" t="s">
        <v>335</v>
      </c>
      <c r="F321" s="6" t="s">
        <v>51</v>
      </c>
      <c r="G321" s="6"/>
      <c r="H321" s="32">
        <v>46087.354929560184</v>
      </c>
      <c r="I321" s="7"/>
      <c r="J321" s="8" t="s">
        <v>4</v>
      </c>
      <c r="K321" s="9"/>
    </row>
    <row r="322" spans="1:11">
      <c r="A322" s="15">
        <f t="shared" si="7"/>
        <v>320</v>
      </c>
      <c r="B322" s="6" t="s">
        <v>14</v>
      </c>
      <c r="C322" s="10">
        <v>46082</v>
      </c>
      <c r="D322" s="11" t="s">
        <v>165</v>
      </c>
      <c r="E322" s="5" t="s">
        <v>336</v>
      </c>
      <c r="F322" s="6" t="s">
        <v>51</v>
      </c>
      <c r="G322" s="6"/>
      <c r="H322" s="32">
        <v>46087.354930462963</v>
      </c>
      <c r="I322" s="7"/>
      <c r="J322" s="8" t="s">
        <v>4</v>
      </c>
      <c r="K322" s="9"/>
    </row>
    <row r="323" spans="1:11">
      <c r="A323" s="15">
        <f t="shared" si="7"/>
        <v>321</v>
      </c>
      <c r="B323" s="6" t="s">
        <v>14</v>
      </c>
      <c r="C323" s="10">
        <v>46082</v>
      </c>
      <c r="D323" s="11" t="s">
        <v>165</v>
      </c>
      <c r="E323" s="5" t="s">
        <v>321</v>
      </c>
      <c r="F323" s="6" t="s">
        <v>51</v>
      </c>
      <c r="G323" s="6"/>
      <c r="H323" s="32">
        <v>46087.354931307869</v>
      </c>
      <c r="I323" s="7"/>
      <c r="J323" s="8" t="s">
        <v>4</v>
      </c>
      <c r="K323" s="9"/>
    </row>
    <row r="324" spans="1:11" ht="25.5">
      <c r="A324" s="15">
        <f t="shared" si="7"/>
        <v>322</v>
      </c>
      <c r="B324" s="6" t="s">
        <v>21</v>
      </c>
      <c r="C324" s="10">
        <v>46023</v>
      </c>
      <c r="D324" s="11" t="s">
        <v>165</v>
      </c>
      <c r="E324" s="5" t="s">
        <v>337</v>
      </c>
      <c r="F324" s="6" t="s">
        <v>51</v>
      </c>
      <c r="G324" s="6"/>
      <c r="H324" s="32">
        <v>46023</v>
      </c>
      <c r="I324" s="32">
        <v>46023</v>
      </c>
      <c r="J324" s="8" t="s">
        <v>5</v>
      </c>
      <c r="K324" s="9"/>
    </row>
    <row r="325" spans="1:11" ht="25.5">
      <c r="A325" s="15">
        <f t="shared" si="7"/>
        <v>323</v>
      </c>
      <c r="B325" s="6" t="s">
        <v>21</v>
      </c>
      <c r="C325" s="10">
        <v>46023</v>
      </c>
      <c r="D325" s="11" t="s">
        <v>148</v>
      </c>
      <c r="E325" s="5" t="s">
        <v>338</v>
      </c>
      <c r="F325" s="6" t="s">
        <v>51</v>
      </c>
      <c r="G325" s="6"/>
      <c r="H325" s="32">
        <v>46023</v>
      </c>
      <c r="I325" s="32">
        <v>46023</v>
      </c>
      <c r="J325" s="8" t="s">
        <v>5</v>
      </c>
      <c r="K325" s="9"/>
    </row>
    <row r="326" spans="1:11" ht="25.5">
      <c r="A326" s="15">
        <f t="shared" si="7"/>
        <v>324</v>
      </c>
      <c r="B326" s="6" t="s">
        <v>21</v>
      </c>
      <c r="C326" s="10">
        <v>46023</v>
      </c>
      <c r="D326" s="11" t="s">
        <v>165</v>
      </c>
      <c r="E326" s="5" t="s">
        <v>339</v>
      </c>
      <c r="F326" s="6" t="s">
        <v>51</v>
      </c>
      <c r="G326" s="6"/>
      <c r="H326" s="32">
        <v>46023</v>
      </c>
      <c r="I326" s="32">
        <v>46023</v>
      </c>
      <c r="J326" s="8" t="s">
        <v>5</v>
      </c>
      <c r="K326" s="9"/>
    </row>
    <row r="327" spans="1:11" ht="25.5">
      <c r="A327" s="15">
        <f t="shared" si="7"/>
        <v>325</v>
      </c>
      <c r="B327" s="6" t="s">
        <v>21</v>
      </c>
      <c r="C327" s="10">
        <v>46023</v>
      </c>
      <c r="D327" s="11" t="s">
        <v>165</v>
      </c>
      <c r="E327" s="5" t="s">
        <v>340</v>
      </c>
      <c r="F327" s="6" t="s">
        <v>51</v>
      </c>
      <c r="G327" s="6"/>
      <c r="H327" s="32">
        <v>46023</v>
      </c>
      <c r="I327" s="32">
        <v>46023</v>
      </c>
      <c r="J327" s="8" t="s">
        <v>5</v>
      </c>
      <c r="K327" s="9"/>
    </row>
    <row r="328" spans="1:11" ht="25.5">
      <c r="A328" s="15">
        <f t="shared" si="7"/>
        <v>326</v>
      </c>
      <c r="B328" s="6" t="s">
        <v>21</v>
      </c>
      <c r="C328" s="10">
        <v>46023</v>
      </c>
      <c r="D328" s="11" t="s">
        <v>165</v>
      </c>
      <c r="E328" s="5" t="s">
        <v>341</v>
      </c>
      <c r="F328" s="6" t="s">
        <v>51</v>
      </c>
      <c r="G328" s="6"/>
      <c r="H328" s="32">
        <v>46023</v>
      </c>
      <c r="I328" s="32">
        <v>46023</v>
      </c>
      <c r="J328" s="8" t="s">
        <v>5</v>
      </c>
      <c r="K328" s="9"/>
    </row>
    <row r="329" spans="1:11" ht="25.5">
      <c r="A329" s="15">
        <f t="shared" si="7"/>
        <v>327</v>
      </c>
      <c r="B329" s="6" t="s">
        <v>21</v>
      </c>
      <c r="C329" s="10">
        <v>46023</v>
      </c>
      <c r="D329" s="11" t="s">
        <v>165</v>
      </c>
      <c r="E329" s="5" t="s">
        <v>342</v>
      </c>
      <c r="F329" s="6" t="s">
        <v>343</v>
      </c>
      <c r="G329" s="6"/>
      <c r="H329" s="32">
        <v>46266</v>
      </c>
      <c r="I329" s="32"/>
      <c r="J329" s="8" t="s">
        <v>4</v>
      </c>
      <c r="K329" s="9"/>
    </row>
    <row r="330" spans="1:11">
      <c r="A330" s="15">
        <f t="shared" si="7"/>
        <v>328</v>
      </c>
      <c r="B330" s="6" t="s">
        <v>8</v>
      </c>
      <c r="C330" s="10">
        <v>46023</v>
      </c>
      <c r="D330" s="11" t="s">
        <v>165</v>
      </c>
      <c r="E330" s="5" t="s">
        <v>344</v>
      </c>
      <c r="F330" s="6"/>
      <c r="G330" s="6"/>
      <c r="H330" s="32">
        <v>45086.72678459491</v>
      </c>
      <c r="I330" s="32">
        <v>45086.72678459491</v>
      </c>
      <c r="J330" s="8" t="s">
        <v>5</v>
      </c>
      <c r="K330" s="9"/>
    </row>
    <row r="331" spans="1:11">
      <c r="A331" s="15">
        <f t="shared" si="7"/>
        <v>329</v>
      </c>
      <c r="B331" s="6" t="s">
        <v>8</v>
      </c>
      <c r="C331" s="10">
        <v>46023</v>
      </c>
      <c r="D331" s="11" t="s">
        <v>165</v>
      </c>
      <c r="E331" s="5" t="s">
        <v>345</v>
      </c>
      <c r="F331" s="6"/>
      <c r="G331" s="6"/>
      <c r="H331" s="32">
        <v>45086.726793865746</v>
      </c>
      <c r="I331" s="32">
        <v>45086.726793865746</v>
      </c>
      <c r="J331" s="8" t="s">
        <v>5</v>
      </c>
      <c r="K331" s="9"/>
    </row>
    <row r="332" spans="1:11">
      <c r="A332" s="15">
        <f t="shared" si="7"/>
        <v>330</v>
      </c>
      <c r="B332" s="6" t="s">
        <v>8</v>
      </c>
      <c r="C332" s="10">
        <v>46023</v>
      </c>
      <c r="D332" s="11" t="s">
        <v>346</v>
      </c>
      <c r="E332" s="5" t="s">
        <v>347</v>
      </c>
      <c r="F332" s="6"/>
      <c r="G332" s="6"/>
      <c r="H332" s="32">
        <v>46031.4387875463</v>
      </c>
      <c r="I332" s="32">
        <v>46031.4387875463</v>
      </c>
      <c r="J332" s="8" t="s">
        <v>5</v>
      </c>
      <c r="K332" s="9"/>
    </row>
    <row r="333" spans="1:11">
      <c r="A333" s="15">
        <f t="shared" si="7"/>
        <v>331</v>
      </c>
      <c r="B333" s="6" t="s">
        <v>8</v>
      </c>
      <c r="C333" s="10">
        <v>46023</v>
      </c>
      <c r="D333" s="11" t="s">
        <v>346</v>
      </c>
      <c r="E333" s="5" t="s">
        <v>348</v>
      </c>
      <c r="F333" s="6"/>
      <c r="G333" s="6"/>
      <c r="H333" s="32">
        <v>46035.363808981478</v>
      </c>
      <c r="I333" s="32">
        <v>46035.363808981478</v>
      </c>
      <c r="J333" s="8" t="s">
        <v>5</v>
      </c>
      <c r="K333" s="9"/>
    </row>
    <row r="334" spans="1:11" ht="25.5">
      <c r="A334" s="15">
        <f t="shared" si="7"/>
        <v>332</v>
      </c>
      <c r="B334" s="6" t="s">
        <v>8</v>
      </c>
      <c r="C334" s="10">
        <v>46023</v>
      </c>
      <c r="D334" s="11" t="s">
        <v>346</v>
      </c>
      <c r="E334" s="5" t="s">
        <v>349</v>
      </c>
      <c r="F334" s="6"/>
      <c r="G334" s="6"/>
      <c r="H334" s="32">
        <v>46035.363826493056</v>
      </c>
      <c r="I334" s="32">
        <v>46035.363826493056</v>
      </c>
      <c r="J334" s="8" t="s">
        <v>5</v>
      </c>
      <c r="K334" s="9"/>
    </row>
    <row r="335" spans="1:11" ht="25.5">
      <c r="A335" s="15">
        <f t="shared" si="7"/>
        <v>333</v>
      </c>
      <c r="B335" s="6" t="s">
        <v>8</v>
      </c>
      <c r="C335" s="10">
        <v>46023</v>
      </c>
      <c r="D335" s="11" t="s">
        <v>346</v>
      </c>
      <c r="E335" s="5" t="s">
        <v>350</v>
      </c>
      <c r="F335" s="6"/>
      <c r="G335" s="6"/>
      <c r="H335" s="32">
        <v>46035.363827581023</v>
      </c>
      <c r="I335" s="32">
        <v>46035.363827581023</v>
      </c>
      <c r="J335" s="8" t="s">
        <v>5</v>
      </c>
      <c r="K335" s="9"/>
    </row>
    <row r="336" spans="1:11" ht="25.5">
      <c r="A336" s="15">
        <f t="shared" si="7"/>
        <v>334</v>
      </c>
      <c r="B336" s="6" t="s">
        <v>8</v>
      </c>
      <c r="C336" s="10">
        <v>46023</v>
      </c>
      <c r="D336" s="11" t="s">
        <v>346</v>
      </c>
      <c r="E336" s="5" t="s">
        <v>351</v>
      </c>
      <c r="F336" s="6"/>
      <c r="G336" s="6"/>
      <c r="H336" s="32">
        <v>46035.363828414353</v>
      </c>
      <c r="I336" s="32">
        <v>46035.363828414353</v>
      </c>
      <c r="J336" s="8" t="s">
        <v>5</v>
      </c>
      <c r="K336" s="9"/>
    </row>
    <row r="337" spans="1:11" ht="25.5">
      <c r="A337" s="15">
        <f t="shared" si="7"/>
        <v>335</v>
      </c>
      <c r="B337" s="6" t="s">
        <v>8</v>
      </c>
      <c r="C337" s="10">
        <v>46023</v>
      </c>
      <c r="D337" s="11" t="s">
        <v>346</v>
      </c>
      <c r="E337" s="5" t="s">
        <v>352</v>
      </c>
      <c r="F337" s="6"/>
      <c r="G337" s="6"/>
      <c r="H337" s="32">
        <v>46035.363829467591</v>
      </c>
      <c r="I337" s="32">
        <v>46035.363829467591</v>
      </c>
      <c r="J337" s="8" t="s">
        <v>5</v>
      </c>
      <c r="K337" s="9"/>
    </row>
    <row r="338" spans="1:11" ht="51">
      <c r="A338" s="15">
        <f t="shared" si="7"/>
        <v>336</v>
      </c>
      <c r="B338" s="6" t="s">
        <v>8</v>
      </c>
      <c r="C338" s="10">
        <v>46023</v>
      </c>
      <c r="D338" s="11" t="s">
        <v>346</v>
      </c>
      <c r="E338" s="5" t="s">
        <v>353</v>
      </c>
      <c r="F338" s="6"/>
      <c r="G338" s="6"/>
      <c r="H338" s="32">
        <v>46035.363830254631</v>
      </c>
      <c r="I338" s="32">
        <v>46035.363830254631</v>
      </c>
      <c r="J338" s="8" t="s">
        <v>5</v>
      </c>
      <c r="K338" s="9"/>
    </row>
    <row r="339" spans="1:11" ht="25.5">
      <c r="A339" s="15">
        <f t="shared" si="7"/>
        <v>337</v>
      </c>
      <c r="B339" s="6" t="s">
        <v>8</v>
      </c>
      <c r="C339" s="10">
        <v>46023</v>
      </c>
      <c r="D339" s="11" t="s">
        <v>346</v>
      </c>
      <c r="E339" s="5" t="s">
        <v>354</v>
      </c>
      <c r="F339" s="6"/>
      <c r="G339" s="6"/>
      <c r="H339" s="32">
        <v>46035.363831249997</v>
      </c>
      <c r="I339" s="32">
        <v>46035.363831249997</v>
      </c>
      <c r="J339" s="8" t="s">
        <v>5</v>
      </c>
      <c r="K339" s="9"/>
    </row>
    <row r="340" spans="1:11" ht="25.5">
      <c r="A340" s="15">
        <f t="shared" si="7"/>
        <v>338</v>
      </c>
      <c r="B340" s="6" t="s">
        <v>8</v>
      </c>
      <c r="C340" s="10">
        <v>46023</v>
      </c>
      <c r="D340" s="11" t="s">
        <v>346</v>
      </c>
      <c r="E340" s="5" t="s">
        <v>355</v>
      </c>
      <c r="F340" s="6"/>
      <c r="G340" s="6"/>
      <c r="H340" s="32">
        <v>46035.363833738425</v>
      </c>
      <c r="I340" s="32">
        <v>46035.363833738425</v>
      </c>
      <c r="J340" s="8" t="s">
        <v>5</v>
      </c>
      <c r="K340" s="9"/>
    </row>
    <row r="341" spans="1:11" ht="25.5">
      <c r="A341" s="15">
        <f t="shared" si="7"/>
        <v>339</v>
      </c>
      <c r="B341" s="6" t="s">
        <v>8</v>
      </c>
      <c r="C341" s="10">
        <v>46023</v>
      </c>
      <c r="D341" s="11" t="s">
        <v>346</v>
      </c>
      <c r="E341" s="5" t="s">
        <v>356</v>
      </c>
      <c r="F341" s="6"/>
      <c r="G341" s="6"/>
      <c r="H341" s="32">
        <v>46035.363837488425</v>
      </c>
      <c r="I341" s="32">
        <v>46035.363837488425</v>
      </c>
      <c r="J341" s="8" t="s">
        <v>5</v>
      </c>
      <c r="K341" s="9"/>
    </row>
    <row r="342" spans="1:11" ht="38.25">
      <c r="A342" s="15">
        <f t="shared" si="7"/>
        <v>340</v>
      </c>
      <c r="B342" s="6" t="s">
        <v>8</v>
      </c>
      <c r="C342" s="10">
        <v>46023</v>
      </c>
      <c r="D342" s="11" t="s">
        <v>346</v>
      </c>
      <c r="E342" s="5" t="s">
        <v>357</v>
      </c>
      <c r="F342" s="6"/>
      <c r="G342" s="6"/>
      <c r="H342" s="32">
        <v>46035.363838553239</v>
      </c>
      <c r="I342" s="32">
        <v>46035.363838553239</v>
      </c>
      <c r="J342" s="8" t="s">
        <v>5</v>
      </c>
      <c r="K342" s="9"/>
    </row>
    <row r="343" spans="1:11" ht="51">
      <c r="A343" s="15">
        <f t="shared" si="7"/>
        <v>341</v>
      </c>
      <c r="B343" s="6" t="s">
        <v>8</v>
      </c>
      <c r="C343" s="10">
        <v>46023</v>
      </c>
      <c r="D343" s="11" t="s">
        <v>346</v>
      </c>
      <c r="E343" s="5" t="s">
        <v>358</v>
      </c>
      <c r="F343" s="6"/>
      <c r="G343" s="6"/>
      <c r="H343" s="32">
        <v>46035.363839398153</v>
      </c>
      <c r="I343" s="32">
        <v>46035.363839398153</v>
      </c>
      <c r="J343" s="8" t="s">
        <v>5</v>
      </c>
      <c r="K343" s="9"/>
    </row>
    <row r="344" spans="1:11" ht="38.25">
      <c r="A344" s="15">
        <f t="shared" si="7"/>
        <v>342</v>
      </c>
      <c r="B344" s="6" t="s">
        <v>8</v>
      </c>
      <c r="C344" s="10">
        <v>46023</v>
      </c>
      <c r="D344" s="11" t="s">
        <v>346</v>
      </c>
      <c r="E344" s="5" t="s">
        <v>357</v>
      </c>
      <c r="F344" s="6"/>
      <c r="G344" s="6"/>
      <c r="H344" s="32">
        <v>46035.363840254635</v>
      </c>
      <c r="I344" s="32">
        <v>46035.363840254635</v>
      </c>
      <c r="J344" s="8" t="s">
        <v>5</v>
      </c>
      <c r="K344" s="9"/>
    </row>
    <row r="345" spans="1:11" ht="51">
      <c r="A345" s="15">
        <f t="shared" si="7"/>
        <v>343</v>
      </c>
      <c r="B345" s="6" t="s">
        <v>8</v>
      </c>
      <c r="C345" s="10">
        <v>46023</v>
      </c>
      <c r="D345" s="11" t="s">
        <v>346</v>
      </c>
      <c r="E345" s="5" t="s">
        <v>358</v>
      </c>
      <c r="F345" s="6"/>
      <c r="G345" s="6"/>
      <c r="H345" s="32">
        <v>46035.36384121528</v>
      </c>
      <c r="I345" s="32">
        <v>46035.36384121528</v>
      </c>
      <c r="J345" s="8" t="s">
        <v>5</v>
      </c>
      <c r="K345" s="9"/>
    </row>
    <row r="346" spans="1:11" ht="38.25">
      <c r="A346" s="15">
        <f t="shared" si="7"/>
        <v>344</v>
      </c>
      <c r="B346" s="6" t="s">
        <v>8</v>
      </c>
      <c r="C346" s="10">
        <v>46023</v>
      </c>
      <c r="D346" s="11" t="s">
        <v>346</v>
      </c>
      <c r="E346" s="5" t="s">
        <v>359</v>
      </c>
      <c r="F346" s="6"/>
      <c r="G346" s="6"/>
      <c r="H346" s="32">
        <v>46035.36384208333</v>
      </c>
      <c r="I346" s="32">
        <v>46035.36384208333</v>
      </c>
      <c r="J346" s="8" t="s">
        <v>5</v>
      </c>
      <c r="K346" s="9"/>
    </row>
    <row r="347" spans="1:11" ht="25.5">
      <c r="A347" s="15">
        <f t="shared" si="7"/>
        <v>345</v>
      </c>
      <c r="B347" s="6" t="s">
        <v>8</v>
      </c>
      <c r="C347" s="10">
        <v>46023</v>
      </c>
      <c r="D347" s="11" t="s">
        <v>346</v>
      </c>
      <c r="E347" s="5" t="s">
        <v>360</v>
      </c>
      <c r="F347" s="6"/>
      <c r="G347" s="6"/>
      <c r="H347" s="32">
        <v>46035.363842881939</v>
      </c>
      <c r="I347" s="32">
        <v>46035.363842881939</v>
      </c>
      <c r="J347" s="8" t="s">
        <v>5</v>
      </c>
      <c r="K347" s="9"/>
    </row>
    <row r="348" spans="1:11" ht="25.5">
      <c r="A348" s="15">
        <f t="shared" si="7"/>
        <v>346</v>
      </c>
      <c r="B348" s="6" t="s">
        <v>8</v>
      </c>
      <c r="C348" s="10">
        <v>46023</v>
      </c>
      <c r="D348" s="11" t="s">
        <v>346</v>
      </c>
      <c r="E348" s="5" t="s">
        <v>361</v>
      </c>
      <c r="F348" s="6"/>
      <c r="G348" s="6"/>
      <c r="H348" s="32">
        <v>46035.363843645835</v>
      </c>
      <c r="I348" s="32">
        <v>46035.363843645835</v>
      </c>
      <c r="J348" s="8" t="s">
        <v>5</v>
      </c>
      <c r="K348" s="9"/>
    </row>
    <row r="349" spans="1:11" ht="51">
      <c r="A349" s="15">
        <f t="shared" si="7"/>
        <v>347</v>
      </c>
      <c r="B349" s="6" t="s">
        <v>8</v>
      </c>
      <c r="C349" s="10">
        <v>46023</v>
      </c>
      <c r="D349" s="11" t="s">
        <v>346</v>
      </c>
      <c r="E349" s="5" t="s">
        <v>362</v>
      </c>
      <c r="F349" s="6"/>
      <c r="G349" s="6"/>
      <c r="H349" s="32">
        <v>46035.363844409723</v>
      </c>
      <c r="I349" s="32">
        <v>46035.363844409723</v>
      </c>
      <c r="J349" s="8" t="s">
        <v>5</v>
      </c>
      <c r="K349" s="9"/>
    </row>
    <row r="350" spans="1:11" ht="51">
      <c r="A350" s="15">
        <f t="shared" si="7"/>
        <v>348</v>
      </c>
      <c r="B350" s="6" t="s">
        <v>8</v>
      </c>
      <c r="C350" s="10">
        <v>46023</v>
      </c>
      <c r="D350" s="11" t="s">
        <v>346</v>
      </c>
      <c r="E350" s="5" t="s">
        <v>363</v>
      </c>
      <c r="F350" s="6"/>
      <c r="G350" s="6"/>
      <c r="H350" s="32">
        <v>46035.363845196756</v>
      </c>
      <c r="I350" s="32">
        <v>46035.363845196756</v>
      </c>
      <c r="J350" s="8" t="s">
        <v>5</v>
      </c>
      <c r="K350" s="9"/>
    </row>
    <row r="351" spans="1:11" ht="76.5">
      <c r="A351" s="15">
        <f t="shared" si="7"/>
        <v>349</v>
      </c>
      <c r="B351" s="6" t="s">
        <v>8</v>
      </c>
      <c r="C351" s="10">
        <v>46023</v>
      </c>
      <c r="D351" s="11" t="s">
        <v>346</v>
      </c>
      <c r="E351" s="5" t="s">
        <v>364</v>
      </c>
      <c r="F351" s="6"/>
      <c r="G351" s="6"/>
      <c r="H351" s="32">
        <v>46035.363845960645</v>
      </c>
      <c r="I351" s="32">
        <v>46035.363845960645</v>
      </c>
      <c r="J351" s="8" t="s">
        <v>5</v>
      </c>
      <c r="K351" s="9"/>
    </row>
    <row r="352" spans="1:11" ht="25.5">
      <c r="A352" s="15">
        <f t="shared" si="7"/>
        <v>350</v>
      </c>
      <c r="B352" s="6" t="s">
        <v>8</v>
      </c>
      <c r="C352" s="10">
        <v>46023</v>
      </c>
      <c r="D352" s="11" t="s">
        <v>346</v>
      </c>
      <c r="E352" s="5" t="s">
        <v>365</v>
      </c>
      <c r="F352" s="6"/>
      <c r="G352" s="6"/>
      <c r="H352" s="32">
        <v>46035.363846724533</v>
      </c>
      <c r="I352" s="32">
        <v>46035.363846724533</v>
      </c>
      <c r="J352" s="8" t="s">
        <v>5</v>
      </c>
      <c r="K352" s="9"/>
    </row>
    <row r="353" spans="1:11" ht="25.5">
      <c r="A353" s="15">
        <f t="shared" si="7"/>
        <v>351</v>
      </c>
      <c r="B353" s="6" t="s">
        <v>8</v>
      </c>
      <c r="C353" s="10">
        <v>46023</v>
      </c>
      <c r="D353" s="11" t="s">
        <v>346</v>
      </c>
      <c r="E353" s="5" t="s">
        <v>366</v>
      </c>
      <c r="F353" s="6"/>
      <c r="G353" s="6"/>
      <c r="H353" s="32">
        <v>46035.363847696761</v>
      </c>
      <c r="I353" s="32">
        <v>46035.363847696761</v>
      </c>
      <c r="J353" s="8" t="s">
        <v>5</v>
      </c>
      <c r="K353" s="9"/>
    </row>
    <row r="354" spans="1:11" ht="51">
      <c r="A354" s="15">
        <f t="shared" si="7"/>
        <v>352</v>
      </c>
      <c r="B354" s="6" t="s">
        <v>8</v>
      </c>
      <c r="C354" s="10">
        <v>46023</v>
      </c>
      <c r="D354" s="11" t="s">
        <v>346</v>
      </c>
      <c r="E354" s="5" t="s">
        <v>367</v>
      </c>
      <c r="F354" s="6"/>
      <c r="G354" s="6"/>
      <c r="H354" s="32">
        <v>46035.363848530091</v>
      </c>
      <c r="I354" s="32">
        <v>46035.363848530091</v>
      </c>
      <c r="J354" s="8" t="s">
        <v>5</v>
      </c>
      <c r="K354" s="9"/>
    </row>
    <row r="355" spans="1:11">
      <c r="A355" s="15">
        <f t="shared" si="7"/>
        <v>353</v>
      </c>
      <c r="B355" s="6" t="s">
        <v>8</v>
      </c>
      <c r="C355" s="10">
        <v>46023</v>
      </c>
      <c r="D355" s="11" t="s">
        <v>346</v>
      </c>
      <c r="E355" s="5" t="s">
        <v>368</v>
      </c>
      <c r="F355" s="6"/>
      <c r="G355" s="6"/>
      <c r="H355" s="32">
        <v>46035.363849293979</v>
      </c>
      <c r="I355" s="32">
        <v>46035.363849293979</v>
      </c>
      <c r="J355" s="8" t="s">
        <v>5</v>
      </c>
      <c r="K355" s="9"/>
    </row>
    <row r="356" spans="1:11">
      <c r="A356" s="15">
        <f t="shared" si="7"/>
        <v>354</v>
      </c>
      <c r="B356" s="6" t="s">
        <v>8</v>
      </c>
      <c r="C356" s="10">
        <v>46023</v>
      </c>
      <c r="D356" s="11" t="s">
        <v>346</v>
      </c>
      <c r="E356" s="5" t="s">
        <v>369</v>
      </c>
      <c r="F356" s="6"/>
      <c r="G356" s="6"/>
      <c r="H356" s="32">
        <v>46042.368382569446</v>
      </c>
      <c r="I356" s="32">
        <v>46042.368382569446</v>
      </c>
      <c r="J356" s="8" t="s">
        <v>5</v>
      </c>
      <c r="K356" s="9"/>
    </row>
    <row r="357" spans="1:11">
      <c r="A357" s="15">
        <f t="shared" si="7"/>
        <v>355</v>
      </c>
      <c r="B357" s="6" t="s">
        <v>8</v>
      </c>
      <c r="C357" s="10">
        <v>46023</v>
      </c>
      <c r="D357" s="11" t="s">
        <v>346</v>
      </c>
      <c r="E357" s="5" t="s">
        <v>370</v>
      </c>
      <c r="F357" s="6"/>
      <c r="G357" s="6"/>
      <c r="H357" s="32">
        <v>46042.368772164351</v>
      </c>
      <c r="I357" s="32">
        <v>46042.368772164351</v>
      </c>
      <c r="J357" s="8" t="s">
        <v>5</v>
      </c>
      <c r="K357" s="9"/>
    </row>
    <row r="358" spans="1:11">
      <c r="A358" s="15">
        <f t="shared" si="7"/>
        <v>356</v>
      </c>
      <c r="B358" s="6" t="s">
        <v>8</v>
      </c>
      <c r="C358" s="10">
        <v>46023</v>
      </c>
      <c r="D358" s="11" t="s">
        <v>148</v>
      </c>
      <c r="E358" s="5" t="s">
        <v>371</v>
      </c>
      <c r="F358" s="6"/>
      <c r="G358" s="6"/>
      <c r="H358" s="32">
        <v>46035.361869942135</v>
      </c>
      <c r="I358" s="32">
        <v>46035.361869942135</v>
      </c>
      <c r="J358" s="8" t="s">
        <v>5</v>
      </c>
      <c r="K358" s="9"/>
    </row>
    <row r="359" spans="1:11">
      <c r="A359" s="15">
        <f t="shared" si="7"/>
        <v>357</v>
      </c>
      <c r="B359" s="6" t="s">
        <v>8</v>
      </c>
      <c r="C359" s="10">
        <v>46023</v>
      </c>
      <c r="D359" s="11" t="s">
        <v>148</v>
      </c>
      <c r="E359" s="5" t="s">
        <v>372</v>
      </c>
      <c r="F359" s="6"/>
      <c r="G359" s="6"/>
      <c r="H359" s="32">
        <v>46035.361871516201</v>
      </c>
      <c r="I359" s="32">
        <v>46035.361871516201</v>
      </c>
      <c r="J359" s="8" t="s">
        <v>5</v>
      </c>
      <c r="K359" s="9"/>
    </row>
    <row r="360" spans="1:11" ht="25.5">
      <c r="A360" s="15">
        <f t="shared" si="7"/>
        <v>358</v>
      </c>
      <c r="B360" s="6" t="s">
        <v>8</v>
      </c>
      <c r="C360" s="10">
        <v>46023</v>
      </c>
      <c r="D360" s="11" t="s">
        <v>148</v>
      </c>
      <c r="E360" s="5" t="s">
        <v>373</v>
      </c>
      <c r="F360" s="6"/>
      <c r="G360" s="6"/>
      <c r="H360" s="32">
        <v>46035.361872731482</v>
      </c>
      <c r="I360" s="32">
        <v>46035.361872731482</v>
      </c>
      <c r="J360" s="8" t="s">
        <v>5</v>
      </c>
      <c r="K360" s="9"/>
    </row>
    <row r="361" spans="1:11">
      <c r="A361" s="15">
        <f t="shared" si="7"/>
        <v>359</v>
      </c>
      <c r="B361" s="6" t="s">
        <v>8</v>
      </c>
      <c r="C361" s="10">
        <v>46023</v>
      </c>
      <c r="D361" s="11" t="s">
        <v>148</v>
      </c>
      <c r="E361" s="5" t="s">
        <v>374</v>
      </c>
      <c r="F361" s="6"/>
      <c r="G361" s="6"/>
      <c r="H361" s="32">
        <v>46035.36187375</v>
      </c>
      <c r="I361" s="32">
        <v>46035.36187375</v>
      </c>
      <c r="J361" s="8" t="s">
        <v>5</v>
      </c>
      <c r="K361" s="9"/>
    </row>
    <row r="362" spans="1:11" ht="25.5">
      <c r="A362" s="15">
        <f t="shared" si="7"/>
        <v>360</v>
      </c>
      <c r="B362" s="6" t="s">
        <v>8</v>
      </c>
      <c r="C362" s="10">
        <v>46023</v>
      </c>
      <c r="D362" s="11" t="s">
        <v>148</v>
      </c>
      <c r="E362" s="5" t="s">
        <v>375</v>
      </c>
      <c r="F362" s="6"/>
      <c r="G362" s="6"/>
      <c r="H362" s="32">
        <v>46035.361875127317</v>
      </c>
      <c r="I362" s="32">
        <v>46035.361875127317</v>
      </c>
      <c r="J362" s="8" t="s">
        <v>5</v>
      </c>
      <c r="K362" s="9"/>
    </row>
    <row r="363" spans="1:11" ht="25.5">
      <c r="A363" s="15">
        <f t="shared" si="7"/>
        <v>361</v>
      </c>
      <c r="B363" s="6" t="s">
        <v>8</v>
      </c>
      <c r="C363" s="10">
        <v>46023</v>
      </c>
      <c r="D363" s="11" t="s">
        <v>148</v>
      </c>
      <c r="E363" s="5" t="s">
        <v>376</v>
      </c>
      <c r="F363" s="6"/>
      <c r="G363" s="6"/>
      <c r="H363" s="32">
        <v>46035.36187630787</v>
      </c>
      <c r="I363" s="32">
        <v>46035.36187630787</v>
      </c>
      <c r="J363" s="8" t="s">
        <v>5</v>
      </c>
      <c r="K363" s="9"/>
    </row>
    <row r="364" spans="1:11" ht="25.5">
      <c r="A364" s="15">
        <f t="shared" si="7"/>
        <v>362</v>
      </c>
      <c r="B364" s="6" t="s">
        <v>8</v>
      </c>
      <c r="C364" s="10">
        <v>46023</v>
      </c>
      <c r="D364" s="11" t="s">
        <v>148</v>
      </c>
      <c r="E364" s="5" t="s">
        <v>377</v>
      </c>
      <c r="F364" s="6"/>
      <c r="G364" s="6"/>
      <c r="H364" s="32">
        <v>46035.361877303236</v>
      </c>
      <c r="I364" s="32">
        <v>46035.361877303236</v>
      </c>
      <c r="J364" s="8" t="s">
        <v>5</v>
      </c>
      <c r="K364" s="9"/>
    </row>
    <row r="365" spans="1:11">
      <c r="A365" s="15">
        <f t="shared" si="7"/>
        <v>363</v>
      </c>
      <c r="B365" s="6" t="s">
        <v>8</v>
      </c>
      <c r="C365" s="10">
        <v>46023</v>
      </c>
      <c r="D365" s="11" t="s">
        <v>148</v>
      </c>
      <c r="E365" s="5" t="s">
        <v>378</v>
      </c>
      <c r="F365" s="6"/>
      <c r="G365" s="6"/>
      <c r="H365" s="32">
        <v>46035.361878414347</v>
      </c>
      <c r="I365" s="32">
        <v>46035.361878414347</v>
      </c>
      <c r="J365" s="8" t="s">
        <v>5</v>
      </c>
      <c r="K365" s="9"/>
    </row>
    <row r="366" spans="1:11">
      <c r="A366" s="15">
        <f t="shared" si="7"/>
        <v>364</v>
      </c>
      <c r="B366" s="6" t="s">
        <v>8</v>
      </c>
      <c r="C366" s="10">
        <v>46023</v>
      </c>
      <c r="D366" s="11" t="s">
        <v>148</v>
      </c>
      <c r="E366" s="5" t="s">
        <v>379</v>
      </c>
      <c r="F366" s="6"/>
      <c r="G366" s="6"/>
      <c r="H366" s="32">
        <v>46035.361879432865</v>
      </c>
      <c r="I366" s="32">
        <v>46035.361879432865</v>
      </c>
      <c r="J366" s="8" t="s">
        <v>5</v>
      </c>
      <c r="K366" s="9"/>
    </row>
    <row r="367" spans="1:11">
      <c r="A367" s="15">
        <f t="shared" si="7"/>
        <v>365</v>
      </c>
      <c r="B367" s="6" t="s">
        <v>8</v>
      </c>
      <c r="C367" s="10">
        <v>46023</v>
      </c>
      <c r="D367" s="11" t="s">
        <v>148</v>
      </c>
      <c r="E367" s="5" t="s">
        <v>380</v>
      </c>
      <c r="F367" s="6"/>
      <c r="G367" s="6"/>
      <c r="H367" s="32">
        <v>46035.361880462966</v>
      </c>
      <c r="I367" s="32">
        <v>46035.361880462966</v>
      </c>
      <c r="J367" s="8" t="s">
        <v>5</v>
      </c>
      <c r="K367" s="9"/>
    </row>
    <row r="368" spans="1:11" ht="25.5">
      <c r="A368" s="15">
        <f t="shared" si="7"/>
        <v>366</v>
      </c>
      <c r="B368" s="6" t="s">
        <v>8</v>
      </c>
      <c r="C368" s="10">
        <v>46023</v>
      </c>
      <c r="D368" s="11" t="s">
        <v>148</v>
      </c>
      <c r="E368" s="5" t="s">
        <v>381</v>
      </c>
      <c r="F368" s="6"/>
      <c r="G368" s="6"/>
      <c r="H368" s="32">
        <v>46035.361881412042</v>
      </c>
      <c r="I368" s="32">
        <v>46035.361881412042</v>
      </c>
      <c r="J368" s="8" t="s">
        <v>5</v>
      </c>
      <c r="K368" s="9"/>
    </row>
    <row r="369" spans="1:11">
      <c r="A369" s="15">
        <f t="shared" si="7"/>
        <v>367</v>
      </c>
      <c r="B369" s="6" t="s">
        <v>8</v>
      </c>
      <c r="C369" s="10">
        <v>46023</v>
      </c>
      <c r="D369" s="11" t="s">
        <v>148</v>
      </c>
      <c r="E369" s="5" t="s">
        <v>382</v>
      </c>
      <c r="F369" s="6"/>
      <c r="G369" s="6"/>
      <c r="H369" s="32">
        <v>46035.361882569443</v>
      </c>
      <c r="I369" s="32"/>
      <c r="J369" s="8" t="s">
        <v>133</v>
      </c>
      <c r="K369" s="9"/>
    </row>
    <row r="370" spans="1:11">
      <c r="A370" s="15">
        <f t="shared" si="7"/>
        <v>368</v>
      </c>
      <c r="B370" s="6" t="s">
        <v>8</v>
      </c>
      <c r="C370" s="10">
        <v>46023</v>
      </c>
      <c r="D370" s="11" t="s">
        <v>148</v>
      </c>
      <c r="E370" s="5" t="s">
        <v>383</v>
      </c>
      <c r="F370" s="6"/>
      <c r="G370" s="6"/>
      <c r="H370" s="32">
        <v>46035.361883668986</v>
      </c>
      <c r="I370" s="32"/>
      <c r="J370" s="8" t="s">
        <v>133</v>
      </c>
      <c r="K370" s="9"/>
    </row>
    <row r="371" spans="1:11">
      <c r="A371" s="15">
        <f t="shared" ref="A371:A403" si="8">A370+1</f>
        <v>369</v>
      </c>
      <c r="B371" s="6" t="s">
        <v>8</v>
      </c>
      <c r="C371" s="10">
        <v>46023</v>
      </c>
      <c r="D371" s="11" t="s">
        <v>148</v>
      </c>
      <c r="E371" s="5" t="s">
        <v>384</v>
      </c>
      <c r="F371" s="6"/>
      <c r="G371" s="6"/>
      <c r="H371" s="32">
        <v>46035.361884583333</v>
      </c>
      <c r="I371" s="32"/>
      <c r="J371" s="8" t="s">
        <v>133</v>
      </c>
      <c r="K371" s="9"/>
    </row>
    <row r="372" spans="1:11">
      <c r="A372" s="15">
        <f t="shared" si="8"/>
        <v>370</v>
      </c>
      <c r="B372" s="6" t="s">
        <v>8</v>
      </c>
      <c r="C372" s="10">
        <v>46023</v>
      </c>
      <c r="D372" s="11" t="s">
        <v>148</v>
      </c>
      <c r="E372" s="5" t="s">
        <v>385</v>
      </c>
      <c r="F372" s="6"/>
      <c r="G372" s="6"/>
      <c r="H372" s="32">
        <v>46035.361885555554</v>
      </c>
      <c r="I372" s="32"/>
      <c r="J372" s="8" t="s">
        <v>133</v>
      </c>
      <c r="K372" s="9"/>
    </row>
    <row r="373" spans="1:11" ht="25.5">
      <c r="A373" s="15">
        <f t="shared" si="8"/>
        <v>371</v>
      </c>
      <c r="B373" s="6" t="s">
        <v>8</v>
      </c>
      <c r="C373" s="10">
        <v>46023</v>
      </c>
      <c r="D373" s="11" t="s">
        <v>148</v>
      </c>
      <c r="E373" s="5" t="s">
        <v>386</v>
      </c>
      <c r="F373" s="6"/>
      <c r="G373" s="6"/>
      <c r="H373" s="32">
        <v>46035.361886435188</v>
      </c>
      <c r="I373" s="32">
        <v>46035.361886435188</v>
      </c>
      <c r="J373" s="8" t="s">
        <v>5</v>
      </c>
      <c r="K373" s="9"/>
    </row>
    <row r="374" spans="1:11">
      <c r="A374" s="15">
        <f t="shared" si="8"/>
        <v>372</v>
      </c>
      <c r="B374" s="6" t="s">
        <v>8</v>
      </c>
      <c r="C374" s="10">
        <v>46023</v>
      </c>
      <c r="D374" s="11" t="s">
        <v>148</v>
      </c>
      <c r="E374" s="5" t="s">
        <v>387</v>
      </c>
      <c r="F374" s="6"/>
      <c r="G374" s="6"/>
      <c r="H374" s="32">
        <v>46035.361887476851</v>
      </c>
      <c r="I374" s="32">
        <v>46035.361887476851</v>
      </c>
      <c r="J374" s="8" t="s">
        <v>5</v>
      </c>
      <c r="K374" s="9"/>
    </row>
    <row r="375" spans="1:11">
      <c r="A375" s="15">
        <f t="shared" si="8"/>
        <v>373</v>
      </c>
      <c r="B375" s="6" t="s">
        <v>8</v>
      </c>
      <c r="C375" s="10">
        <v>46023</v>
      </c>
      <c r="D375" s="11" t="s">
        <v>148</v>
      </c>
      <c r="E375" s="5" t="s">
        <v>388</v>
      </c>
      <c r="F375" s="6"/>
      <c r="G375" s="6"/>
      <c r="H375" s="32">
        <v>46035.361888368054</v>
      </c>
      <c r="I375" s="32">
        <v>46035.361888368054</v>
      </c>
      <c r="J375" s="8" t="s">
        <v>5</v>
      </c>
      <c r="K375" s="9"/>
    </row>
    <row r="376" spans="1:11">
      <c r="A376" s="15">
        <f t="shared" si="8"/>
        <v>374</v>
      </c>
      <c r="B376" s="6" t="s">
        <v>8</v>
      </c>
      <c r="C376" s="10">
        <v>46023</v>
      </c>
      <c r="D376" s="11" t="s">
        <v>148</v>
      </c>
      <c r="E376" s="5" t="s">
        <v>389</v>
      </c>
      <c r="F376" s="6"/>
      <c r="G376" s="6"/>
      <c r="H376" s="32">
        <v>46035.36188945602</v>
      </c>
      <c r="I376" s="32">
        <v>46035.36188945602</v>
      </c>
      <c r="J376" s="8" t="s">
        <v>5</v>
      </c>
      <c r="K376" s="9"/>
    </row>
    <row r="377" spans="1:11" ht="25.5">
      <c r="A377" s="15">
        <f t="shared" si="8"/>
        <v>375</v>
      </c>
      <c r="B377" s="6" t="s">
        <v>8</v>
      </c>
      <c r="C377" s="10">
        <v>46023</v>
      </c>
      <c r="D377" s="11" t="s">
        <v>148</v>
      </c>
      <c r="E377" s="5" t="s">
        <v>390</v>
      </c>
      <c r="F377" s="6"/>
      <c r="G377" s="6"/>
      <c r="H377" s="32">
        <v>46035.361890567132</v>
      </c>
      <c r="I377" s="32">
        <v>46035.361890567132</v>
      </c>
      <c r="J377" s="8" t="s">
        <v>5</v>
      </c>
      <c r="K377" s="9"/>
    </row>
    <row r="378" spans="1:11" ht="25.5">
      <c r="A378" s="15">
        <f t="shared" si="8"/>
        <v>376</v>
      </c>
      <c r="B378" s="6" t="s">
        <v>8</v>
      </c>
      <c r="C378" s="10">
        <v>46023</v>
      </c>
      <c r="D378" s="11" t="s">
        <v>148</v>
      </c>
      <c r="E378" s="5" t="s">
        <v>391</v>
      </c>
      <c r="F378" s="6"/>
      <c r="G378" s="6"/>
      <c r="H378" s="32">
        <v>46035.361891828703</v>
      </c>
      <c r="I378" s="32">
        <v>46035.361891828703</v>
      </c>
      <c r="J378" s="8" t="s">
        <v>5</v>
      </c>
      <c r="K378" s="9"/>
    </row>
    <row r="379" spans="1:11" ht="25.5">
      <c r="A379" s="15">
        <f t="shared" si="8"/>
        <v>377</v>
      </c>
      <c r="B379" s="6" t="s">
        <v>8</v>
      </c>
      <c r="C379" s="10">
        <v>46023</v>
      </c>
      <c r="D379" s="11" t="s">
        <v>148</v>
      </c>
      <c r="E379" s="5" t="s">
        <v>392</v>
      </c>
      <c r="F379" s="6"/>
      <c r="G379" s="6"/>
      <c r="H379" s="32">
        <v>46035.361892858797</v>
      </c>
      <c r="I379" s="32">
        <v>46035.361892858797</v>
      </c>
      <c r="J379" s="8" t="s">
        <v>5</v>
      </c>
      <c r="K379" s="9"/>
    </row>
    <row r="380" spans="1:11">
      <c r="A380" s="15">
        <f t="shared" si="8"/>
        <v>378</v>
      </c>
      <c r="B380" s="6" t="s">
        <v>8</v>
      </c>
      <c r="C380" s="10">
        <v>46023</v>
      </c>
      <c r="D380" s="11" t="s">
        <v>148</v>
      </c>
      <c r="E380" s="5" t="s">
        <v>393</v>
      </c>
      <c r="F380" s="6"/>
      <c r="G380" s="6"/>
      <c r="H380" s="32">
        <v>46035.361893738431</v>
      </c>
      <c r="I380" s="32">
        <v>46035.361893738431</v>
      </c>
      <c r="J380" s="8" t="s">
        <v>5</v>
      </c>
      <c r="K380" s="9"/>
    </row>
    <row r="381" spans="1:11" ht="25.5">
      <c r="A381" s="15">
        <f t="shared" si="8"/>
        <v>379</v>
      </c>
      <c r="B381" s="6" t="s">
        <v>8</v>
      </c>
      <c r="C381" s="10">
        <v>46023</v>
      </c>
      <c r="D381" s="11" t="s">
        <v>148</v>
      </c>
      <c r="E381" s="5" t="s">
        <v>394</v>
      </c>
      <c r="F381" s="6"/>
      <c r="G381" s="6"/>
      <c r="H381" s="32">
        <v>46035.361894675923</v>
      </c>
      <c r="I381" s="32">
        <v>46035.361894675923</v>
      </c>
      <c r="J381" s="8" t="s">
        <v>5</v>
      </c>
      <c r="K381" s="9"/>
    </row>
    <row r="382" spans="1:11" ht="25.5">
      <c r="A382" s="15">
        <f t="shared" si="8"/>
        <v>380</v>
      </c>
      <c r="B382" s="6" t="s">
        <v>8</v>
      </c>
      <c r="C382" s="10">
        <v>46023</v>
      </c>
      <c r="D382" s="11" t="s">
        <v>148</v>
      </c>
      <c r="E382" s="5" t="s">
        <v>395</v>
      </c>
      <c r="F382" s="6"/>
      <c r="G382" s="6"/>
      <c r="H382" s="32">
        <v>46035.361895543982</v>
      </c>
      <c r="I382" s="32">
        <v>46035.361895543982</v>
      </c>
      <c r="J382" s="8" t="s">
        <v>5</v>
      </c>
      <c r="K382" s="9"/>
    </row>
    <row r="383" spans="1:11">
      <c r="A383" s="15">
        <f t="shared" si="8"/>
        <v>381</v>
      </c>
      <c r="B383" s="6" t="s">
        <v>8</v>
      </c>
      <c r="C383" s="10">
        <v>46023</v>
      </c>
      <c r="D383" s="11" t="s">
        <v>148</v>
      </c>
      <c r="E383" s="5" t="s">
        <v>396</v>
      </c>
      <c r="F383" s="6"/>
      <c r="G383" s="6"/>
      <c r="H383" s="32">
        <v>46035.361896400464</v>
      </c>
      <c r="I383" s="32">
        <v>46035.361896400464</v>
      </c>
      <c r="J383" s="8" t="s">
        <v>5</v>
      </c>
      <c r="K383" s="9"/>
    </row>
    <row r="384" spans="1:11">
      <c r="A384" s="15">
        <f t="shared" si="8"/>
        <v>382</v>
      </c>
      <c r="B384" s="6" t="s">
        <v>8</v>
      </c>
      <c r="C384" s="10">
        <v>46023</v>
      </c>
      <c r="D384" s="11" t="s">
        <v>148</v>
      </c>
      <c r="E384" s="5" t="s">
        <v>397</v>
      </c>
      <c r="F384" s="6"/>
      <c r="G384" s="6"/>
      <c r="H384" s="32">
        <v>46035.361897291667</v>
      </c>
      <c r="I384" s="32">
        <v>46035.361897291667</v>
      </c>
      <c r="J384" s="8" t="s">
        <v>5</v>
      </c>
      <c r="K384" s="9"/>
    </row>
    <row r="385" spans="1:11" ht="25.5">
      <c r="A385" s="15">
        <f t="shared" si="8"/>
        <v>383</v>
      </c>
      <c r="B385" s="6" t="s">
        <v>8</v>
      </c>
      <c r="C385" s="10">
        <v>46023</v>
      </c>
      <c r="D385" s="11" t="s">
        <v>148</v>
      </c>
      <c r="E385" s="5" t="s">
        <v>398</v>
      </c>
      <c r="F385" s="6"/>
      <c r="G385" s="6"/>
      <c r="H385" s="32">
        <v>46035.361898287039</v>
      </c>
      <c r="I385" s="32">
        <v>46035.361898287039</v>
      </c>
      <c r="J385" s="8" t="s">
        <v>5</v>
      </c>
      <c r="K385" s="9"/>
    </row>
    <row r="386" spans="1:11" ht="25.5">
      <c r="A386" s="15">
        <f t="shared" si="8"/>
        <v>384</v>
      </c>
      <c r="B386" s="6" t="s">
        <v>8</v>
      </c>
      <c r="C386" s="10">
        <v>46023</v>
      </c>
      <c r="D386" s="11" t="s">
        <v>148</v>
      </c>
      <c r="E386" s="5" t="s">
        <v>399</v>
      </c>
      <c r="F386" s="6"/>
      <c r="G386" s="6"/>
      <c r="H386" s="32">
        <v>46035.36189925926</v>
      </c>
      <c r="I386" s="32">
        <v>46035.36189925926</v>
      </c>
      <c r="J386" s="8" t="s">
        <v>5</v>
      </c>
      <c r="K386" s="9"/>
    </row>
    <row r="387" spans="1:11" ht="25.5">
      <c r="A387" s="15">
        <f t="shared" si="8"/>
        <v>385</v>
      </c>
      <c r="B387" s="6" t="s">
        <v>8</v>
      </c>
      <c r="C387" s="10">
        <v>46023</v>
      </c>
      <c r="D387" s="11" t="s">
        <v>148</v>
      </c>
      <c r="E387" s="5" t="s">
        <v>400</v>
      </c>
      <c r="F387" s="6"/>
      <c r="G387" s="6"/>
      <c r="H387" s="32">
        <v>46035.361900300923</v>
      </c>
      <c r="I387" s="32">
        <v>46035.361900300923</v>
      </c>
      <c r="J387" s="8" t="s">
        <v>5</v>
      </c>
      <c r="K387" s="9"/>
    </row>
    <row r="388" spans="1:11" ht="25.5">
      <c r="A388" s="15">
        <f t="shared" si="8"/>
        <v>386</v>
      </c>
      <c r="B388" s="6" t="s">
        <v>8</v>
      </c>
      <c r="C388" s="10">
        <v>46023</v>
      </c>
      <c r="D388" s="11" t="s">
        <v>148</v>
      </c>
      <c r="E388" s="5" t="s">
        <v>401</v>
      </c>
      <c r="F388" s="6"/>
      <c r="G388" s="6"/>
      <c r="H388" s="32">
        <v>46035.36190123843</v>
      </c>
      <c r="I388" s="32">
        <v>46035.36190123843</v>
      </c>
      <c r="J388" s="8" t="s">
        <v>5</v>
      </c>
      <c r="K388" s="9"/>
    </row>
    <row r="389" spans="1:11">
      <c r="A389" s="15">
        <f t="shared" si="8"/>
        <v>387</v>
      </c>
      <c r="B389" s="6" t="s">
        <v>8</v>
      </c>
      <c r="C389" s="10">
        <v>46023</v>
      </c>
      <c r="D389" s="11" t="s">
        <v>148</v>
      </c>
      <c r="E389" s="5" t="s">
        <v>402</v>
      </c>
      <c r="F389" s="6"/>
      <c r="G389" s="6"/>
      <c r="H389" s="32">
        <v>46035.361902118057</v>
      </c>
      <c r="I389" s="32">
        <v>46035.361902118057</v>
      </c>
      <c r="J389" s="8" t="s">
        <v>5</v>
      </c>
      <c r="K389" s="9"/>
    </row>
    <row r="390" spans="1:11" ht="25.5">
      <c r="A390" s="15">
        <f t="shared" si="8"/>
        <v>388</v>
      </c>
      <c r="B390" s="6" t="s">
        <v>8</v>
      </c>
      <c r="C390" s="10">
        <v>46023</v>
      </c>
      <c r="D390" s="11" t="s">
        <v>148</v>
      </c>
      <c r="E390" s="5" t="s">
        <v>403</v>
      </c>
      <c r="F390" s="6"/>
      <c r="G390" s="6"/>
      <c r="H390" s="32">
        <v>46035.361903020836</v>
      </c>
      <c r="I390" s="32">
        <v>46035.361903020836</v>
      </c>
      <c r="J390" s="8" t="s">
        <v>5</v>
      </c>
      <c r="K390" s="9"/>
    </row>
    <row r="391" spans="1:11" ht="25.5">
      <c r="A391" s="15">
        <f t="shared" si="8"/>
        <v>389</v>
      </c>
      <c r="B391" s="6" t="s">
        <v>8</v>
      </c>
      <c r="C391" s="10">
        <v>46023</v>
      </c>
      <c r="D391" s="11" t="s">
        <v>148</v>
      </c>
      <c r="E391" s="5" t="s">
        <v>404</v>
      </c>
      <c r="F391" s="6"/>
      <c r="G391" s="6"/>
      <c r="H391" s="32">
        <v>46035.361903912039</v>
      </c>
      <c r="I391" s="32">
        <v>46035.361903912039</v>
      </c>
      <c r="J391" s="8" t="s">
        <v>5</v>
      </c>
      <c r="K391" s="9"/>
    </row>
    <row r="392" spans="1:11">
      <c r="A392" s="15">
        <f t="shared" si="8"/>
        <v>390</v>
      </c>
      <c r="B392" s="6" t="s">
        <v>8</v>
      </c>
      <c r="C392" s="10">
        <v>46023</v>
      </c>
      <c r="D392" s="11" t="s">
        <v>148</v>
      </c>
      <c r="E392" s="5" t="s">
        <v>405</v>
      </c>
      <c r="F392" s="6"/>
      <c r="G392" s="6"/>
      <c r="H392" s="32">
        <v>46035.36190481481</v>
      </c>
      <c r="I392" s="32">
        <v>46035.36190481481</v>
      </c>
      <c r="J392" s="8" t="s">
        <v>5</v>
      </c>
      <c r="K392" s="9"/>
    </row>
    <row r="393" spans="1:11">
      <c r="A393" s="15">
        <f t="shared" si="8"/>
        <v>391</v>
      </c>
      <c r="B393" s="6" t="s">
        <v>8</v>
      </c>
      <c r="C393" s="10">
        <v>46023</v>
      </c>
      <c r="D393" s="11" t="s">
        <v>148</v>
      </c>
      <c r="E393" s="5" t="s">
        <v>406</v>
      </c>
      <c r="F393" s="6"/>
      <c r="G393" s="6"/>
      <c r="H393" s="32">
        <v>46035.361905729165</v>
      </c>
      <c r="I393" s="32">
        <v>46035.361905729165</v>
      </c>
      <c r="J393" s="8" t="s">
        <v>5</v>
      </c>
      <c r="K393" s="9"/>
    </row>
    <row r="394" spans="1:11">
      <c r="A394" s="15">
        <f t="shared" si="8"/>
        <v>392</v>
      </c>
      <c r="B394" s="6" t="s">
        <v>8</v>
      </c>
      <c r="C394" s="10">
        <v>46023</v>
      </c>
      <c r="D394" s="11" t="s">
        <v>148</v>
      </c>
      <c r="E394" s="5" t="s">
        <v>407</v>
      </c>
      <c r="F394" s="6"/>
      <c r="G394" s="6"/>
      <c r="H394" s="32">
        <v>46035.361906712962</v>
      </c>
      <c r="I394" s="32">
        <v>46035.361906712962</v>
      </c>
      <c r="J394" s="8" t="s">
        <v>5</v>
      </c>
      <c r="K394" s="9"/>
    </row>
    <row r="395" spans="1:11">
      <c r="A395" s="15">
        <f t="shared" si="8"/>
        <v>393</v>
      </c>
      <c r="B395" s="6" t="s">
        <v>8</v>
      </c>
      <c r="C395" s="10">
        <v>46023</v>
      </c>
      <c r="D395" s="11" t="s">
        <v>148</v>
      </c>
      <c r="E395" s="5" t="s">
        <v>408</v>
      </c>
      <c r="F395" s="6"/>
      <c r="G395" s="6"/>
      <c r="H395" s="32">
        <v>46035.361907604165</v>
      </c>
      <c r="I395" s="32">
        <v>46035.361907604165</v>
      </c>
      <c r="J395" s="8" t="s">
        <v>5</v>
      </c>
      <c r="K395" s="9"/>
    </row>
    <row r="396" spans="1:11">
      <c r="A396" s="15">
        <f t="shared" si="8"/>
        <v>394</v>
      </c>
      <c r="B396" s="6" t="s">
        <v>8</v>
      </c>
      <c r="C396" s="10">
        <v>46023</v>
      </c>
      <c r="D396" s="11" t="s">
        <v>165</v>
      </c>
      <c r="E396" s="5" t="s">
        <v>409</v>
      </c>
      <c r="F396" s="6"/>
      <c r="G396" s="6"/>
      <c r="H396" s="32">
        <v>46069.468708287037</v>
      </c>
      <c r="I396" s="32">
        <v>46069.468708287037</v>
      </c>
      <c r="J396" s="8" t="s">
        <v>5</v>
      </c>
      <c r="K396" s="9"/>
    </row>
    <row r="397" spans="1:11">
      <c r="A397" s="15">
        <f t="shared" si="8"/>
        <v>395</v>
      </c>
      <c r="B397" s="6" t="s">
        <v>8</v>
      </c>
      <c r="C397" s="10">
        <v>46023</v>
      </c>
      <c r="D397" s="11" t="s">
        <v>165</v>
      </c>
      <c r="E397" s="5" t="s">
        <v>410</v>
      </c>
      <c r="F397" s="6"/>
      <c r="G397" s="6"/>
      <c r="H397" s="32">
        <v>46069.468839583336</v>
      </c>
      <c r="I397" s="32">
        <v>46069.468839583336</v>
      </c>
      <c r="J397" s="8" t="s">
        <v>5</v>
      </c>
      <c r="K397" s="9"/>
    </row>
    <row r="398" spans="1:11">
      <c r="A398" s="15">
        <f t="shared" si="8"/>
        <v>396</v>
      </c>
      <c r="B398" s="6" t="s">
        <v>8</v>
      </c>
      <c r="C398" s="10">
        <v>46023</v>
      </c>
      <c r="D398" s="11" t="s">
        <v>165</v>
      </c>
      <c r="E398" s="5" t="s">
        <v>411</v>
      </c>
      <c r="F398" s="6"/>
      <c r="G398" s="6"/>
      <c r="H398" s="32">
        <v>46069.468951712959</v>
      </c>
      <c r="I398" s="32">
        <v>46069.468951712959</v>
      </c>
      <c r="J398" s="8" t="s">
        <v>5</v>
      </c>
      <c r="K398" s="9"/>
    </row>
    <row r="399" spans="1:11">
      <c r="A399" s="15">
        <f t="shared" si="8"/>
        <v>397</v>
      </c>
      <c r="B399" s="6" t="s">
        <v>8</v>
      </c>
      <c r="C399" s="10">
        <v>46023</v>
      </c>
      <c r="D399" s="11" t="s">
        <v>165</v>
      </c>
      <c r="E399" s="5" t="s">
        <v>412</v>
      </c>
      <c r="F399" s="6"/>
      <c r="G399" s="6"/>
      <c r="H399" s="32">
        <v>46069.469161666668</v>
      </c>
      <c r="I399" s="32">
        <v>46069.469161666668</v>
      </c>
      <c r="J399" s="8" t="s">
        <v>5</v>
      </c>
      <c r="K399" s="9"/>
    </row>
    <row r="400" spans="1:11">
      <c r="A400" s="15">
        <f t="shared" si="8"/>
        <v>398</v>
      </c>
      <c r="B400" s="6" t="s">
        <v>8</v>
      </c>
      <c r="C400" s="10">
        <v>46023</v>
      </c>
      <c r="D400" s="11" t="s">
        <v>165</v>
      </c>
      <c r="E400" s="5" t="s">
        <v>413</v>
      </c>
      <c r="F400" s="6"/>
      <c r="G400" s="6"/>
      <c r="H400" s="32">
        <v>46069.469426759257</v>
      </c>
      <c r="I400" s="32">
        <v>46069.469426759257</v>
      </c>
      <c r="J400" s="8" t="s">
        <v>5</v>
      </c>
      <c r="K400" s="9"/>
    </row>
    <row r="401" spans="1:11">
      <c r="A401" s="15">
        <f t="shared" si="8"/>
        <v>399</v>
      </c>
      <c r="B401" s="6" t="s">
        <v>8</v>
      </c>
      <c r="C401" s="10">
        <v>46023</v>
      </c>
      <c r="D401" s="11" t="s">
        <v>165</v>
      </c>
      <c r="E401" s="5" t="s">
        <v>414</v>
      </c>
      <c r="F401" s="6"/>
      <c r="G401" s="6"/>
      <c r="H401" s="32">
        <v>46069.470801400465</v>
      </c>
      <c r="I401" s="32">
        <v>46069.470801400465</v>
      </c>
      <c r="J401" s="8" t="s">
        <v>5</v>
      </c>
      <c r="K401" s="9"/>
    </row>
    <row r="402" spans="1:11">
      <c r="A402" s="15">
        <f t="shared" si="8"/>
        <v>400</v>
      </c>
      <c r="B402" s="6" t="s">
        <v>8</v>
      </c>
      <c r="C402" s="10">
        <v>46023</v>
      </c>
      <c r="D402" s="11" t="s">
        <v>165</v>
      </c>
      <c r="E402" s="5" t="s">
        <v>415</v>
      </c>
      <c r="F402" s="6"/>
      <c r="G402" s="6"/>
      <c r="H402" s="32">
        <v>46069.471188564814</v>
      </c>
      <c r="I402" s="32">
        <v>46069.471188564814</v>
      </c>
      <c r="J402" s="8" t="s">
        <v>5</v>
      </c>
      <c r="K402" s="9"/>
    </row>
    <row r="403" spans="1:11" ht="15.75">
      <c r="A403" s="15">
        <f t="shared" si="8"/>
        <v>401</v>
      </c>
      <c r="B403" s="6" t="s">
        <v>11</v>
      </c>
      <c r="C403" s="10">
        <v>46235</v>
      </c>
      <c r="D403" s="11" t="s">
        <v>129</v>
      </c>
      <c r="E403" s="37" t="s">
        <v>416</v>
      </c>
      <c r="F403" s="6"/>
      <c r="G403" s="6"/>
      <c r="H403" s="32">
        <v>46252</v>
      </c>
      <c r="I403" s="31"/>
      <c r="J403" s="8" t="s">
        <v>4</v>
      </c>
      <c r="K403" s="9"/>
    </row>
    <row r="404" spans="1:11">
      <c r="A404" s="15"/>
      <c r="B404" s="6"/>
      <c r="C404" s="30"/>
      <c r="D404" s="11"/>
      <c r="E404" s="5"/>
      <c r="F404" s="6"/>
      <c r="G404" s="6"/>
      <c r="I404" s="31"/>
      <c r="J404" s="8"/>
      <c r="K404" s="9"/>
    </row>
    <row r="405" spans="1:11">
      <c r="A405" s="15"/>
      <c r="B405" s="6"/>
      <c r="C405" s="30"/>
      <c r="D405" s="11"/>
      <c r="E405" s="5"/>
      <c r="F405" s="6"/>
      <c r="G405" s="6"/>
      <c r="I405" s="31"/>
      <c r="J405" s="8"/>
      <c r="K405" s="9"/>
    </row>
    <row r="406" spans="1:11">
      <c r="A406" s="15"/>
      <c r="B406" s="6"/>
      <c r="C406" s="30"/>
      <c r="D406" s="11"/>
      <c r="E406" s="5"/>
      <c r="F406" s="6"/>
      <c r="G406" s="6"/>
      <c r="I406" s="31"/>
      <c r="J406" s="8"/>
      <c r="K406" s="9"/>
    </row>
    <row r="407" spans="1:11">
      <c r="A407" s="15"/>
      <c r="B407" s="6"/>
      <c r="C407" s="30"/>
      <c r="D407" s="11"/>
      <c r="E407" s="5"/>
      <c r="F407" s="6"/>
      <c r="G407" s="6"/>
      <c r="I407" s="31"/>
      <c r="J407" s="8"/>
      <c r="K407" s="9"/>
    </row>
    <row r="408" spans="1:11">
      <c r="A408" s="15"/>
      <c r="B408" s="6"/>
      <c r="C408" s="30"/>
      <c r="D408" s="11"/>
      <c r="E408" s="5"/>
      <c r="F408" s="6"/>
      <c r="G408" s="6"/>
      <c r="I408" s="31"/>
      <c r="J408" s="8"/>
      <c r="K408" s="9"/>
    </row>
    <row r="409" spans="1:11">
      <c r="A409" s="15"/>
      <c r="B409" s="6"/>
      <c r="C409" s="30"/>
      <c r="D409" s="11"/>
      <c r="E409" s="5"/>
      <c r="F409" s="6"/>
      <c r="G409" s="6"/>
      <c r="I409" s="31"/>
      <c r="J409" s="8"/>
      <c r="K409" s="9"/>
    </row>
    <row r="410" spans="1:11">
      <c r="A410" s="15"/>
      <c r="B410" s="6"/>
      <c r="C410" s="30"/>
      <c r="D410" s="11"/>
      <c r="E410" s="5"/>
      <c r="F410" s="6"/>
      <c r="G410" s="6"/>
      <c r="I410" s="31"/>
      <c r="J410" s="8"/>
      <c r="K410" s="9"/>
    </row>
    <row r="411" spans="1:11">
      <c r="A411" s="15"/>
      <c r="B411" s="6"/>
      <c r="C411" s="30"/>
      <c r="D411" s="11"/>
      <c r="E411" s="5"/>
      <c r="F411" s="6"/>
      <c r="G411" s="6"/>
      <c r="I411" s="31"/>
      <c r="J411" s="8"/>
      <c r="K411" s="9"/>
    </row>
    <row r="412" spans="1:11">
      <c r="A412" s="15"/>
      <c r="B412" s="6"/>
      <c r="C412" s="30"/>
      <c r="D412" s="11"/>
      <c r="E412" s="5"/>
      <c r="F412" s="6"/>
      <c r="G412" s="6"/>
      <c r="I412" s="31"/>
      <c r="J412" s="8"/>
      <c r="K412" s="9"/>
    </row>
    <row r="413" spans="1:11">
      <c r="A413" s="15"/>
      <c r="B413" s="6"/>
      <c r="C413" s="30"/>
      <c r="D413" s="11"/>
      <c r="E413" s="5"/>
      <c r="F413" s="6"/>
      <c r="G413" s="6"/>
      <c r="I413" s="31"/>
      <c r="J413" s="8"/>
      <c r="K413" s="9"/>
    </row>
    <row r="414" spans="1:11">
      <c r="A414" s="15"/>
      <c r="B414" s="6"/>
      <c r="C414" s="30"/>
      <c r="D414" s="11"/>
      <c r="E414" s="5"/>
      <c r="F414" s="6"/>
      <c r="G414" s="6"/>
      <c r="I414" s="31"/>
      <c r="J414" s="8"/>
      <c r="K414" s="9"/>
    </row>
    <row r="415" spans="1:11">
      <c r="A415" s="15"/>
      <c r="B415" s="6"/>
      <c r="C415" s="30"/>
      <c r="D415" s="11"/>
      <c r="E415" s="5"/>
      <c r="F415" s="6"/>
      <c r="G415" s="6"/>
      <c r="I415" s="31"/>
      <c r="J415" s="8"/>
      <c r="K415" s="9"/>
    </row>
    <row r="416" spans="1:11">
      <c r="A416" s="15"/>
      <c r="B416" s="6"/>
      <c r="C416" s="30"/>
      <c r="D416" s="11"/>
      <c r="E416" s="5"/>
      <c r="F416" s="6"/>
      <c r="G416" s="6"/>
      <c r="I416" s="31"/>
      <c r="J416" s="8"/>
      <c r="K416" s="9"/>
    </row>
    <row r="417" spans="1:11">
      <c r="A417" s="15"/>
      <c r="B417" s="6"/>
      <c r="C417" s="30"/>
      <c r="D417" s="11"/>
      <c r="E417" s="5"/>
      <c r="F417" s="6"/>
      <c r="G417" s="6"/>
      <c r="I417" s="31"/>
      <c r="J417" s="8"/>
      <c r="K417" s="9"/>
    </row>
    <row r="418" spans="1:11">
      <c r="A418" s="15"/>
      <c r="B418" s="6"/>
      <c r="C418" s="30"/>
      <c r="D418" s="11"/>
      <c r="E418" s="5"/>
      <c r="F418" s="6"/>
      <c r="G418" s="6"/>
      <c r="I418" s="31"/>
      <c r="J418" s="8"/>
      <c r="K418" s="9"/>
    </row>
    <row r="419" spans="1:11">
      <c r="A419" s="15"/>
      <c r="B419" s="6"/>
      <c r="C419" s="30"/>
      <c r="D419" s="11"/>
      <c r="E419" s="5"/>
      <c r="F419" s="6"/>
      <c r="G419" s="6"/>
      <c r="I419" s="31"/>
      <c r="J419" s="8"/>
      <c r="K419" s="9"/>
    </row>
    <row r="420" spans="1:11">
      <c r="A420" s="15"/>
      <c r="B420" s="6"/>
      <c r="C420" s="30"/>
      <c r="D420" s="11"/>
      <c r="E420" s="5"/>
      <c r="F420" s="6"/>
      <c r="G420" s="6"/>
      <c r="I420" s="31"/>
      <c r="J420" s="8"/>
      <c r="K420" s="9"/>
    </row>
    <row r="421" spans="1:11">
      <c r="A421" s="15"/>
      <c r="B421" s="6"/>
      <c r="C421" s="30"/>
      <c r="D421" s="11"/>
      <c r="E421" s="5"/>
      <c r="F421" s="6"/>
      <c r="G421" s="6"/>
      <c r="I421" s="31"/>
      <c r="J421" s="8"/>
      <c r="K421" s="9"/>
    </row>
    <row r="422" spans="1:11">
      <c r="A422" s="15"/>
      <c r="B422" s="6"/>
      <c r="C422" s="30"/>
      <c r="D422" s="11"/>
      <c r="E422" s="5"/>
      <c r="F422" s="6"/>
      <c r="G422" s="6"/>
      <c r="I422" s="31"/>
      <c r="J422" s="8"/>
      <c r="K422" s="9"/>
    </row>
    <row r="423" spans="1:11">
      <c r="A423" s="15"/>
      <c r="B423" s="6"/>
      <c r="C423" s="30"/>
      <c r="D423" s="11"/>
      <c r="E423" s="5"/>
      <c r="F423" s="6"/>
      <c r="G423" s="6"/>
      <c r="I423" s="31"/>
      <c r="J423" s="8"/>
      <c r="K423" s="9"/>
    </row>
    <row r="424" spans="1:11">
      <c r="A424" s="15"/>
      <c r="B424" s="6"/>
      <c r="C424" s="30"/>
      <c r="D424" s="11"/>
      <c r="E424" s="5"/>
      <c r="F424" s="6"/>
      <c r="G424" s="6"/>
      <c r="I424" s="31"/>
      <c r="J424" s="8"/>
      <c r="K424" s="9"/>
    </row>
    <row r="425" spans="1:11">
      <c r="A425" s="15"/>
      <c r="B425" s="6"/>
      <c r="C425" s="30"/>
      <c r="D425" s="11"/>
      <c r="E425" s="5"/>
      <c r="F425" s="6"/>
      <c r="G425" s="6"/>
      <c r="I425" s="31"/>
      <c r="J425" s="8"/>
      <c r="K425" s="9"/>
    </row>
    <row r="426" spans="1:11">
      <c r="A426" s="15"/>
      <c r="B426" s="6"/>
      <c r="C426" s="30"/>
      <c r="D426" s="11"/>
      <c r="E426" s="5"/>
      <c r="F426" s="6"/>
      <c r="G426" s="6"/>
      <c r="I426" s="31"/>
      <c r="J426" s="8"/>
      <c r="K426" s="9"/>
    </row>
    <row r="427" spans="1:11">
      <c r="A427" s="15"/>
      <c r="B427" s="6"/>
      <c r="C427" s="30"/>
      <c r="D427" s="11"/>
      <c r="E427" s="5"/>
      <c r="F427" s="6"/>
      <c r="G427" s="6"/>
      <c r="I427" s="31"/>
      <c r="J427" s="8"/>
      <c r="K427" s="9"/>
    </row>
    <row r="428" spans="1:11">
      <c r="A428" s="15"/>
      <c r="B428" s="6"/>
      <c r="C428" s="30"/>
      <c r="D428" s="11"/>
      <c r="E428" s="5"/>
      <c r="F428" s="6"/>
      <c r="G428" s="6"/>
      <c r="I428" s="31"/>
      <c r="J428" s="8"/>
      <c r="K428" s="9"/>
    </row>
    <row r="429" spans="1:11">
      <c r="A429" s="15"/>
      <c r="B429" s="6"/>
      <c r="C429" s="30"/>
      <c r="D429" s="11"/>
      <c r="E429" s="5"/>
      <c r="F429" s="6"/>
      <c r="G429" s="6"/>
      <c r="I429" s="31"/>
      <c r="J429" s="8"/>
      <c r="K429" s="9"/>
    </row>
    <row r="430" spans="1:11">
      <c r="A430" s="15"/>
      <c r="B430" s="6"/>
      <c r="C430" s="30"/>
      <c r="D430" s="11"/>
      <c r="E430" s="5"/>
      <c r="F430" s="6"/>
      <c r="G430" s="6"/>
      <c r="I430" s="31"/>
      <c r="J430" s="8"/>
      <c r="K430" s="9"/>
    </row>
    <row r="431" spans="1:11">
      <c r="A431" s="15"/>
      <c r="B431" s="6"/>
      <c r="C431" s="30"/>
      <c r="D431" s="11"/>
      <c r="E431" s="5"/>
      <c r="F431" s="6"/>
      <c r="G431" s="6"/>
      <c r="I431" s="31"/>
      <c r="J431" s="8"/>
      <c r="K431" s="9"/>
    </row>
    <row r="432" spans="1:11">
      <c r="A432" s="15"/>
      <c r="B432" s="6"/>
      <c r="C432" s="30"/>
      <c r="D432" s="11"/>
      <c r="E432" s="5"/>
      <c r="F432" s="6"/>
      <c r="G432" s="6"/>
      <c r="I432" s="31"/>
      <c r="J432" s="8"/>
      <c r="K432" s="9"/>
    </row>
    <row r="433" spans="1:11">
      <c r="A433" s="15"/>
      <c r="B433" s="6"/>
      <c r="C433" s="30"/>
      <c r="D433" s="11"/>
      <c r="E433" s="5"/>
      <c r="F433" s="6"/>
      <c r="G433" s="6"/>
      <c r="I433" s="31"/>
      <c r="J433" s="8"/>
      <c r="K433" s="9"/>
    </row>
    <row r="434" spans="1:11">
      <c r="A434" s="15"/>
      <c r="B434" s="6"/>
      <c r="C434" s="30"/>
      <c r="D434" s="11"/>
      <c r="E434" s="5"/>
      <c r="F434" s="6"/>
      <c r="G434" s="6"/>
      <c r="I434" s="31"/>
      <c r="J434" s="8"/>
      <c r="K434" s="9"/>
    </row>
    <row r="435" spans="1:11">
      <c r="A435" s="15"/>
      <c r="B435" s="6"/>
      <c r="C435" s="30"/>
      <c r="D435" s="11"/>
      <c r="E435" s="5"/>
      <c r="F435" s="6"/>
      <c r="G435" s="6"/>
      <c r="I435" s="31"/>
      <c r="J435" s="8"/>
      <c r="K435" s="9"/>
    </row>
    <row r="436" spans="1:11">
      <c r="A436" s="15"/>
      <c r="B436" s="6"/>
      <c r="C436" s="30"/>
      <c r="D436" s="11"/>
      <c r="E436" s="5"/>
      <c r="F436" s="6"/>
      <c r="G436" s="6"/>
      <c r="I436" s="31"/>
      <c r="J436" s="8"/>
      <c r="K436" s="9"/>
    </row>
    <row r="437" spans="1:11">
      <c r="A437" s="15"/>
      <c r="B437" s="6"/>
      <c r="C437" s="30"/>
      <c r="D437" s="11"/>
      <c r="E437" s="5"/>
      <c r="F437" s="6"/>
      <c r="G437" s="6"/>
      <c r="I437" s="31"/>
      <c r="J437" s="8"/>
      <c r="K437" s="9"/>
    </row>
    <row r="438" spans="1:11">
      <c r="A438" s="15"/>
      <c r="B438" s="6"/>
      <c r="C438" s="30"/>
      <c r="D438" s="11"/>
      <c r="E438" s="5"/>
      <c r="F438" s="6"/>
      <c r="G438" s="6"/>
      <c r="I438" s="31"/>
      <c r="J438" s="8"/>
      <c r="K438" s="9"/>
    </row>
    <row r="439" spans="1:11">
      <c r="A439" s="15"/>
      <c r="B439" s="6"/>
      <c r="C439" s="30"/>
      <c r="D439" s="11"/>
      <c r="E439" s="5"/>
      <c r="F439" s="6"/>
      <c r="G439" s="6"/>
      <c r="I439" s="31"/>
      <c r="J439" s="8"/>
      <c r="K439" s="9"/>
    </row>
    <row r="440" spans="1:11">
      <c r="A440" s="15"/>
      <c r="B440" s="6"/>
      <c r="C440" s="30"/>
      <c r="D440" s="11"/>
      <c r="E440" s="5"/>
      <c r="F440" s="6"/>
      <c r="G440" s="6"/>
      <c r="I440" s="31"/>
      <c r="J440" s="8"/>
      <c r="K440" s="9"/>
    </row>
    <row r="441" spans="1:11">
      <c r="A441" s="15"/>
      <c r="B441" s="6"/>
      <c r="C441" s="30"/>
      <c r="D441" s="11"/>
      <c r="E441" s="5"/>
      <c r="F441" s="6"/>
      <c r="G441" s="6"/>
      <c r="I441" s="31"/>
      <c r="J441" s="8"/>
      <c r="K441" s="9"/>
    </row>
    <row r="442" spans="1:11">
      <c r="A442" s="15"/>
      <c r="B442" s="6"/>
      <c r="C442" s="30"/>
      <c r="D442" s="11"/>
      <c r="E442" s="5"/>
      <c r="F442" s="6"/>
      <c r="G442" s="6"/>
      <c r="I442" s="31"/>
      <c r="J442" s="8"/>
      <c r="K442" s="9"/>
    </row>
    <row r="443" spans="1:11">
      <c r="A443" s="15"/>
      <c r="B443" s="6"/>
      <c r="C443" s="30"/>
      <c r="D443" s="11"/>
      <c r="E443" s="5"/>
      <c r="F443" s="6"/>
      <c r="G443" s="6"/>
      <c r="I443" s="31"/>
      <c r="J443" s="8"/>
      <c r="K443" s="9"/>
    </row>
    <row r="444" spans="1:11">
      <c r="A444" s="15"/>
      <c r="B444" s="6"/>
      <c r="C444" s="30"/>
      <c r="D444" s="11"/>
      <c r="E444" s="5"/>
      <c r="F444" s="6"/>
      <c r="G444" s="6"/>
      <c r="I444" s="31"/>
      <c r="J444" s="8"/>
      <c r="K444" s="9"/>
    </row>
    <row r="445" spans="1:11">
      <c r="A445" s="15"/>
      <c r="B445" s="6"/>
      <c r="C445" s="30"/>
      <c r="D445" s="11"/>
      <c r="E445" s="5"/>
      <c r="F445" s="6"/>
      <c r="G445" s="6"/>
      <c r="I445" s="31"/>
      <c r="J445" s="8"/>
      <c r="K445" s="9"/>
    </row>
    <row r="446" spans="1:11">
      <c r="A446" s="15"/>
      <c r="B446" s="6"/>
      <c r="C446" s="30"/>
      <c r="D446" s="11"/>
      <c r="E446" s="5"/>
      <c r="F446" s="6"/>
      <c r="G446" s="6"/>
      <c r="I446" s="31"/>
      <c r="J446" s="8"/>
      <c r="K446" s="9"/>
    </row>
    <row r="447" spans="1:11">
      <c r="A447" s="15"/>
      <c r="B447" s="6"/>
      <c r="C447" s="30"/>
      <c r="D447" s="11"/>
      <c r="E447" s="5"/>
      <c r="F447" s="6"/>
      <c r="G447" s="6"/>
      <c r="I447" s="31"/>
      <c r="J447" s="8"/>
      <c r="K447" s="9"/>
    </row>
    <row r="448" spans="1:11">
      <c r="A448" s="15"/>
      <c r="B448" s="6"/>
      <c r="C448" s="30"/>
      <c r="D448" s="11"/>
      <c r="E448" s="5"/>
      <c r="F448" s="6"/>
      <c r="G448" s="6"/>
      <c r="I448" s="31"/>
      <c r="J448" s="8"/>
      <c r="K448" s="9"/>
    </row>
    <row r="449" spans="1:11">
      <c r="A449" s="15"/>
      <c r="B449" s="6"/>
      <c r="C449" s="30"/>
      <c r="D449" s="11"/>
      <c r="E449" s="5"/>
      <c r="F449" s="6"/>
      <c r="G449" s="6"/>
      <c r="I449" s="31"/>
      <c r="J449" s="8"/>
      <c r="K449" s="9"/>
    </row>
    <row r="450" spans="1:11">
      <c r="A450" s="15"/>
      <c r="B450" s="6"/>
      <c r="C450" s="30"/>
      <c r="D450" s="11"/>
      <c r="E450" s="5"/>
      <c r="F450" s="6"/>
      <c r="G450" s="6"/>
      <c r="I450" s="31"/>
      <c r="J450" s="8"/>
      <c r="K450" s="9"/>
    </row>
    <row r="451" spans="1:11">
      <c r="A451" s="15"/>
      <c r="B451" s="6"/>
      <c r="C451" s="30"/>
      <c r="D451" s="11"/>
      <c r="E451" s="5"/>
      <c r="F451" s="6"/>
      <c r="G451" s="6"/>
      <c r="I451" s="31"/>
      <c r="J451" s="8"/>
      <c r="K451" s="9"/>
    </row>
    <row r="452" spans="1:11">
      <c r="A452" s="15"/>
      <c r="B452" s="6"/>
      <c r="C452" s="30"/>
      <c r="D452" s="11"/>
      <c r="E452" s="5"/>
      <c r="F452" s="6"/>
      <c r="G452" s="6"/>
      <c r="I452" s="31"/>
      <c r="J452" s="8"/>
      <c r="K452" s="9"/>
    </row>
    <row r="453" spans="1:11">
      <c r="A453" s="15"/>
      <c r="B453" s="6"/>
      <c r="C453" s="30"/>
      <c r="D453" s="11"/>
      <c r="E453" s="5"/>
      <c r="F453" s="6"/>
      <c r="G453" s="6"/>
      <c r="I453" s="31"/>
      <c r="J453" s="8"/>
      <c r="K453" s="9"/>
    </row>
    <row r="454" spans="1:11">
      <c r="A454" s="15"/>
      <c r="B454" s="6"/>
      <c r="C454" s="30"/>
      <c r="D454" s="11"/>
      <c r="E454" s="5"/>
      <c r="F454" s="6"/>
      <c r="G454" s="6"/>
      <c r="I454" s="31"/>
      <c r="J454" s="8"/>
      <c r="K454" s="9"/>
    </row>
    <row r="455" spans="1:11">
      <c r="A455" s="15"/>
      <c r="B455" s="6"/>
      <c r="C455" s="30"/>
      <c r="D455" s="11"/>
      <c r="E455" s="5"/>
      <c r="F455" s="6"/>
      <c r="G455" s="6"/>
      <c r="I455" s="31"/>
      <c r="J455" s="8"/>
      <c r="K455" s="9"/>
    </row>
    <row r="456" spans="1:11">
      <c r="A456" s="15"/>
      <c r="B456" s="6"/>
      <c r="C456" s="30"/>
      <c r="D456" s="11"/>
      <c r="E456" s="5"/>
      <c r="F456" s="6"/>
      <c r="G456" s="6"/>
      <c r="I456" s="31"/>
      <c r="J456" s="8"/>
      <c r="K456" s="9"/>
    </row>
    <row r="457" spans="1:11">
      <c r="A457" s="15"/>
      <c r="B457" s="6"/>
      <c r="C457" s="30"/>
      <c r="D457" s="11"/>
      <c r="E457" s="5"/>
      <c r="F457" s="6"/>
      <c r="G457" s="6"/>
      <c r="I457" s="31"/>
      <c r="J457" s="8"/>
      <c r="K457" s="9"/>
    </row>
    <row r="458" spans="1:11">
      <c r="A458" s="15"/>
      <c r="B458" s="6"/>
      <c r="C458" s="30"/>
      <c r="D458" s="11"/>
      <c r="E458" s="5"/>
      <c r="F458" s="6"/>
      <c r="G458" s="6"/>
      <c r="I458" s="31"/>
      <c r="J458" s="8"/>
      <c r="K458" s="9"/>
    </row>
    <row r="459" spans="1:11">
      <c r="A459" s="15"/>
      <c r="B459" s="6"/>
      <c r="C459" s="30"/>
      <c r="D459" s="11"/>
      <c r="E459" s="5"/>
      <c r="F459" s="6"/>
      <c r="G459" s="6"/>
      <c r="I459" s="31"/>
      <c r="J459" s="8"/>
      <c r="K459" s="9"/>
    </row>
    <row r="460" spans="1:11">
      <c r="A460" s="15"/>
      <c r="B460" s="6"/>
      <c r="C460" s="30"/>
      <c r="D460" s="11"/>
      <c r="E460" s="5"/>
      <c r="F460" s="6"/>
      <c r="G460" s="6"/>
      <c r="I460" s="31"/>
      <c r="J460" s="8"/>
      <c r="K460" s="9"/>
    </row>
    <row r="461" spans="1:11">
      <c r="A461" s="15"/>
      <c r="B461" s="6"/>
      <c r="C461" s="30"/>
      <c r="D461" s="11"/>
      <c r="E461" s="5"/>
      <c r="F461" s="6"/>
      <c r="G461" s="6"/>
      <c r="I461" s="31"/>
      <c r="J461" s="8"/>
      <c r="K461" s="9"/>
    </row>
    <row r="462" spans="1:11">
      <c r="A462" s="15"/>
      <c r="B462" s="6"/>
      <c r="C462" s="30"/>
      <c r="D462" s="11"/>
      <c r="E462" s="5"/>
      <c r="F462" s="6"/>
      <c r="G462" s="6"/>
      <c r="I462" s="31"/>
      <c r="J462" s="8"/>
      <c r="K462" s="9"/>
    </row>
    <row r="463" spans="1:11">
      <c r="A463" s="15"/>
      <c r="B463" s="6"/>
      <c r="C463" s="30"/>
      <c r="D463" s="11"/>
      <c r="E463" s="5"/>
      <c r="F463" s="6"/>
      <c r="G463" s="6"/>
      <c r="I463" s="31"/>
      <c r="J463" s="8"/>
      <c r="K463" s="9"/>
    </row>
    <row r="464" spans="1:11">
      <c r="A464" s="15"/>
      <c r="B464" s="6"/>
      <c r="C464" s="30"/>
      <c r="D464" s="11"/>
      <c r="E464" s="5"/>
      <c r="F464" s="6"/>
      <c r="G464" s="6"/>
      <c r="I464" s="31"/>
      <c r="J464" s="8"/>
      <c r="K464" s="9"/>
    </row>
    <row r="465" spans="1:11">
      <c r="A465" s="15"/>
      <c r="B465" s="6"/>
      <c r="C465" s="30"/>
      <c r="D465" s="11"/>
      <c r="E465" s="5"/>
      <c r="F465" s="6"/>
      <c r="G465" s="6"/>
      <c r="I465" s="31"/>
      <c r="J465" s="8"/>
      <c r="K465" s="9"/>
    </row>
    <row r="466" spans="1:11">
      <c r="A466" s="15"/>
      <c r="B466" s="6"/>
      <c r="C466" s="30"/>
      <c r="D466" s="11"/>
      <c r="E466" s="5"/>
      <c r="F466" s="6"/>
      <c r="G466" s="6"/>
      <c r="I466" s="31"/>
      <c r="J466" s="8"/>
      <c r="K466" s="9"/>
    </row>
    <row r="467" spans="1:11">
      <c r="A467" s="15"/>
      <c r="B467" s="6"/>
      <c r="C467" s="30"/>
      <c r="D467" s="11"/>
      <c r="E467" s="5"/>
      <c r="F467" s="6"/>
      <c r="G467" s="6"/>
      <c r="I467" s="31"/>
      <c r="J467" s="8"/>
      <c r="K467" s="9"/>
    </row>
    <row r="468" spans="1:11">
      <c r="A468" s="15"/>
      <c r="B468" s="6"/>
      <c r="C468" s="30"/>
      <c r="D468" s="11"/>
      <c r="E468" s="5"/>
      <c r="F468" s="6"/>
      <c r="G468" s="6"/>
      <c r="I468" s="31"/>
      <c r="J468" s="8"/>
      <c r="K468" s="9"/>
    </row>
    <row r="469" spans="1:11">
      <c r="A469" s="15"/>
      <c r="B469" s="6"/>
      <c r="C469" s="30"/>
      <c r="D469" s="11"/>
      <c r="E469" s="5"/>
      <c r="F469" s="6"/>
      <c r="G469" s="6"/>
      <c r="I469" s="31"/>
      <c r="J469" s="8"/>
      <c r="K469" s="9"/>
    </row>
    <row r="470" spans="1:11">
      <c r="A470" s="15"/>
      <c r="B470" s="6"/>
      <c r="C470" s="30"/>
      <c r="D470" s="11"/>
      <c r="E470" s="5"/>
      <c r="F470" s="6"/>
      <c r="G470" s="6"/>
      <c r="I470" s="31"/>
      <c r="J470" s="8"/>
      <c r="K470" s="9"/>
    </row>
    <row r="471" spans="1:11">
      <c r="A471" s="15"/>
      <c r="B471" s="6"/>
      <c r="C471" s="30"/>
      <c r="D471" s="11"/>
      <c r="E471" s="5"/>
      <c r="F471" s="6"/>
      <c r="G471" s="6"/>
      <c r="I471" s="31"/>
      <c r="J471" s="8"/>
      <c r="K471" s="9"/>
    </row>
    <row r="472" spans="1:11">
      <c r="A472" s="15"/>
      <c r="B472" s="6"/>
      <c r="C472" s="30"/>
      <c r="D472" s="11"/>
      <c r="E472" s="5"/>
      <c r="F472" s="6"/>
      <c r="G472" s="6"/>
      <c r="I472" s="31"/>
      <c r="J472" s="8"/>
      <c r="K472" s="9"/>
    </row>
    <row r="473" spans="1:11">
      <c r="A473" s="15"/>
      <c r="B473" s="6"/>
      <c r="C473" s="30"/>
      <c r="D473" s="11"/>
      <c r="E473" s="5"/>
      <c r="F473" s="6"/>
      <c r="G473" s="6"/>
      <c r="I473" s="31"/>
      <c r="J473" s="8"/>
      <c r="K473" s="9"/>
    </row>
    <row r="474" spans="1:11">
      <c r="A474" s="15"/>
      <c r="B474" s="6"/>
      <c r="C474" s="30"/>
      <c r="D474" s="11"/>
      <c r="E474" s="5"/>
      <c r="F474" s="6"/>
      <c r="G474" s="6"/>
      <c r="I474" s="31"/>
      <c r="J474" s="8"/>
      <c r="K474" s="9"/>
    </row>
    <row r="475" spans="1:11">
      <c r="A475" s="15"/>
      <c r="B475" s="6"/>
      <c r="C475" s="30"/>
      <c r="D475" s="11"/>
      <c r="E475" s="5"/>
      <c r="F475" s="6"/>
      <c r="G475" s="6"/>
      <c r="I475" s="31"/>
      <c r="J475" s="8"/>
      <c r="K475" s="9"/>
    </row>
    <row r="476" spans="1:11">
      <c r="A476" s="15"/>
      <c r="B476" s="6"/>
      <c r="C476" s="30"/>
      <c r="D476" s="11"/>
      <c r="E476" s="5"/>
      <c r="F476" s="6"/>
      <c r="G476" s="6"/>
      <c r="I476" s="31"/>
      <c r="J476" s="8"/>
      <c r="K476" s="9"/>
    </row>
    <row r="477" spans="1:11">
      <c r="A477" s="15"/>
      <c r="B477" s="6"/>
      <c r="C477" s="30"/>
      <c r="D477" s="11"/>
      <c r="E477" s="5"/>
      <c r="F477" s="6"/>
      <c r="G477" s="6"/>
      <c r="I477" s="31"/>
      <c r="J477" s="8"/>
      <c r="K477" s="9"/>
    </row>
    <row r="478" spans="1:11">
      <c r="A478" s="15"/>
      <c r="B478" s="6"/>
      <c r="C478" s="30"/>
      <c r="D478" s="11"/>
      <c r="E478" s="5"/>
      <c r="F478" s="6"/>
      <c r="G478" s="6"/>
      <c r="I478" s="31"/>
      <c r="J478" s="8"/>
      <c r="K478" s="9"/>
    </row>
    <row r="479" spans="1:11">
      <c r="A479" s="15"/>
      <c r="B479" s="6"/>
      <c r="C479" s="30"/>
      <c r="D479" s="11"/>
      <c r="E479" s="5"/>
      <c r="F479" s="6"/>
      <c r="G479" s="6"/>
      <c r="I479" s="31"/>
      <c r="J479" s="8"/>
      <c r="K479" s="9"/>
    </row>
    <row r="480" spans="1:11">
      <c r="A480" s="15"/>
      <c r="B480" s="6"/>
      <c r="C480" s="30"/>
      <c r="D480" s="11"/>
      <c r="E480" s="5"/>
      <c r="F480" s="6"/>
      <c r="G480" s="6"/>
      <c r="I480" s="31"/>
      <c r="J480" s="8"/>
      <c r="K480" s="9"/>
    </row>
    <row r="481" spans="1:11">
      <c r="A481" s="15"/>
      <c r="B481" s="6"/>
      <c r="C481" s="30"/>
      <c r="D481" s="11"/>
      <c r="E481" s="5"/>
      <c r="F481" s="6"/>
      <c r="G481" s="6"/>
      <c r="I481" s="31"/>
      <c r="J481" s="8"/>
      <c r="K481" s="9"/>
    </row>
    <row r="482" spans="1:11">
      <c r="A482" s="15"/>
      <c r="B482" s="6"/>
      <c r="C482" s="30"/>
      <c r="D482" s="11"/>
      <c r="E482" s="5"/>
      <c r="F482" s="6"/>
      <c r="G482" s="6"/>
      <c r="I482" s="31"/>
      <c r="J482" s="8"/>
      <c r="K482" s="9"/>
    </row>
    <row r="483" spans="1:11">
      <c r="A483" s="15"/>
      <c r="B483" s="6"/>
      <c r="C483" s="30"/>
      <c r="D483" s="11"/>
      <c r="E483" s="5"/>
      <c r="F483" s="6"/>
      <c r="G483" s="6"/>
      <c r="I483" s="31"/>
      <c r="J483" s="8"/>
      <c r="K483" s="9"/>
    </row>
    <row r="484" spans="1:11">
      <c r="A484" s="15"/>
      <c r="B484" s="6"/>
      <c r="C484" s="30"/>
      <c r="D484" s="11"/>
      <c r="E484" s="5"/>
      <c r="F484" s="6"/>
      <c r="G484" s="6"/>
      <c r="I484" s="31"/>
      <c r="J484" s="8"/>
      <c r="K484" s="9"/>
    </row>
    <row r="485" spans="1:11">
      <c r="A485" s="15"/>
      <c r="B485" s="6"/>
      <c r="C485" s="30"/>
      <c r="D485" s="11"/>
      <c r="E485" s="5"/>
      <c r="F485" s="6"/>
      <c r="G485" s="6"/>
      <c r="I485" s="31"/>
      <c r="J485" s="8"/>
      <c r="K485" s="9"/>
    </row>
    <row r="486" spans="1:11">
      <c r="A486" s="15"/>
      <c r="B486" s="6"/>
      <c r="C486" s="30"/>
      <c r="D486" s="11"/>
      <c r="E486" s="5"/>
      <c r="F486" s="6"/>
      <c r="G486" s="6"/>
      <c r="I486" s="31"/>
      <c r="J486" s="8"/>
      <c r="K486" s="9"/>
    </row>
    <row r="487" spans="1:11">
      <c r="A487" s="15"/>
      <c r="B487" s="6"/>
      <c r="C487" s="30"/>
      <c r="D487" s="11"/>
      <c r="E487" s="5"/>
      <c r="F487" s="6"/>
      <c r="G487" s="6"/>
      <c r="I487" s="31"/>
      <c r="J487" s="8"/>
      <c r="K487" s="9"/>
    </row>
    <row r="488" spans="1:11">
      <c r="A488" s="15"/>
      <c r="B488" s="6"/>
      <c r="C488" s="30"/>
      <c r="D488" s="11"/>
      <c r="E488" s="5"/>
      <c r="F488" s="6"/>
      <c r="G488" s="6"/>
      <c r="I488" s="31"/>
      <c r="J488" s="8"/>
      <c r="K488" s="9"/>
    </row>
    <row r="489" spans="1:11">
      <c r="A489" s="15"/>
      <c r="B489" s="6"/>
      <c r="C489" s="30"/>
      <c r="D489" s="11"/>
      <c r="E489" s="5"/>
      <c r="F489" s="6"/>
      <c r="G489" s="6"/>
      <c r="I489" s="31"/>
      <c r="J489" s="8"/>
      <c r="K489" s="9"/>
    </row>
    <row r="490" spans="1:11">
      <c r="A490" s="15"/>
      <c r="B490" s="6"/>
      <c r="C490" s="30"/>
      <c r="D490" s="11"/>
      <c r="E490" s="5"/>
      <c r="F490" s="6"/>
      <c r="G490" s="6"/>
      <c r="I490" s="31"/>
      <c r="J490" s="8"/>
      <c r="K490" s="9"/>
    </row>
    <row r="491" spans="1:11">
      <c r="A491" s="15"/>
      <c r="B491" s="6"/>
      <c r="C491" s="30"/>
      <c r="D491" s="11"/>
      <c r="E491" s="5"/>
      <c r="F491" s="6"/>
      <c r="G491" s="6"/>
      <c r="I491" s="31"/>
      <c r="J491" s="8"/>
      <c r="K491" s="9"/>
    </row>
    <row r="492" spans="1:11">
      <c r="A492" s="15"/>
      <c r="B492" s="6"/>
      <c r="C492" s="30"/>
      <c r="D492" s="11"/>
      <c r="E492" s="5"/>
      <c r="F492" s="6"/>
      <c r="G492" s="6"/>
      <c r="I492" s="31"/>
      <c r="J492" s="8"/>
      <c r="K492" s="9"/>
    </row>
    <row r="493" spans="1:11">
      <c r="A493" s="15"/>
      <c r="B493" s="6"/>
      <c r="C493" s="30"/>
      <c r="D493" s="11"/>
      <c r="E493" s="5"/>
      <c r="F493" s="6"/>
      <c r="G493" s="6"/>
      <c r="I493" s="31"/>
      <c r="J493" s="8"/>
      <c r="K493" s="9"/>
    </row>
    <row r="494" spans="1:11">
      <c r="A494" s="15"/>
      <c r="B494" s="6"/>
      <c r="C494" s="30"/>
      <c r="D494" s="11"/>
      <c r="E494" s="5"/>
      <c r="F494" s="6"/>
      <c r="G494" s="6"/>
      <c r="I494" s="31"/>
      <c r="J494" s="8"/>
      <c r="K494" s="9"/>
    </row>
    <row r="495" spans="1:11">
      <c r="A495" s="15"/>
      <c r="B495" s="6"/>
      <c r="C495" s="30"/>
      <c r="D495" s="11"/>
      <c r="E495" s="5"/>
      <c r="F495" s="6"/>
      <c r="G495" s="6"/>
      <c r="I495" s="31"/>
      <c r="J495" s="8"/>
      <c r="K495" s="9"/>
    </row>
    <row r="496" spans="1:11">
      <c r="A496" s="15"/>
      <c r="B496" s="6"/>
      <c r="C496" s="30"/>
      <c r="D496" s="11"/>
      <c r="E496" s="5"/>
      <c r="F496" s="6"/>
      <c r="G496" s="6"/>
      <c r="I496" s="31"/>
      <c r="J496" s="8"/>
      <c r="K496" s="9"/>
    </row>
    <row r="497" spans="1:11">
      <c r="A497" s="15"/>
      <c r="B497" s="6"/>
      <c r="C497" s="30"/>
      <c r="D497" s="11"/>
      <c r="E497" s="5"/>
      <c r="F497" s="6"/>
      <c r="G497" s="6"/>
      <c r="I497" s="31"/>
      <c r="J497" s="8"/>
      <c r="K497" s="9"/>
    </row>
    <row r="498" spans="1:11">
      <c r="A498" s="15"/>
      <c r="B498" s="6"/>
      <c r="C498" s="30"/>
      <c r="D498" s="11"/>
      <c r="E498" s="5"/>
      <c r="F498" s="6"/>
      <c r="G498" s="6"/>
      <c r="I498" s="31"/>
      <c r="J498" s="8"/>
      <c r="K498" s="9"/>
    </row>
    <row r="499" spans="1:11">
      <c r="A499" s="15"/>
      <c r="B499" s="6"/>
      <c r="C499" s="30"/>
      <c r="D499" s="11"/>
      <c r="E499" s="5"/>
      <c r="F499" s="6"/>
      <c r="G499" s="6"/>
      <c r="I499" s="31"/>
      <c r="J499" s="8"/>
      <c r="K499" s="9"/>
    </row>
    <row r="500" spans="1:11">
      <c r="A500" s="15"/>
      <c r="B500" s="6"/>
      <c r="C500" s="30"/>
      <c r="D500" s="11"/>
      <c r="E500" s="5"/>
      <c r="F500" s="6"/>
      <c r="G500" s="6"/>
      <c r="I500" s="31"/>
      <c r="J500" s="8"/>
      <c r="K500" s="9"/>
    </row>
    <row r="501" spans="1:11">
      <c r="A501" s="15"/>
      <c r="B501" s="6"/>
      <c r="C501" s="30"/>
      <c r="D501" s="11"/>
      <c r="E501" s="5"/>
      <c r="F501" s="6"/>
      <c r="G501" s="6"/>
      <c r="I501" s="31"/>
      <c r="J501" s="8"/>
      <c r="K501" s="9"/>
    </row>
    <row r="502" spans="1:11">
      <c r="A502" s="15"/>
      <c r="B502" s="6"/>
      <c r="C502" s="30"/>
      <c r="D502" s="11"/>
      <c r="E502" s="5"/>
      <c r="F502" s="6"/>
      <c r="G502" s="6"/>
      <c r="I502" s="31"/>
      <c r="J502" s="8"/>
      <c r="K502" s="9"/>
    </row>
    <row r="503" spans="1:11">
      <c r="A503" s="15"/>
      <c r="B503" s="6"/>
      <c r="C503" s="30"/>
      <c r="D503" s="11"/>
      <c r="E503" s="5"/>
      <c r="F503" s="6"/>
      <c r="G503" s="6"/>
      <c r="I503" s="31"/>
      <c r="J503" s="8"/>
      <c r="K503" s="9"/>
    </row>
    <row r="504" spans="1:11">
      <c r="A504" s="15"/>
      <c r="B504" s="6"/>
      <c r="C504" s="30"/>
      <c r="D504" s="11"/>
      <c r="E504" s="5"/>
      <c r="F504" s="6"/>
      <c r="G504" s="6"/>
      <c r="I504" s="31"/>
      <c r="J504" s="8"/>
      <c r="K504" s="9"/>
    </row>
    <row r="505" spans="1:11">
      <c r="A505" s="15"/>
      <c r="B505" s="6"/>
      <c r="C505" s="30"/>
      <c r="D505" s="11"/>
      <c r="E505" s="5"/>
      <c r="F505" s="6"/>
      <c r="G505" s="6"/>
      <c r="I505" s="31"/>
      <c r="J505" s="8"/>
      <c r="K505" s="9"/>
    </row>
    <row r="506" spans="1:11">
      <c r="A506" s="15"/>
      <c r="B506" s="6"/>
      <c r="C506" s="30"/>
      <c r="D506" s="11"/>
      <c r="E506" s="5"/>
      <c r="F506" s="6"/>
      <c r="G506" s="6"/>
      <c r="I506" s="31"/>
      <c r="J506" s="8"/>
      <c r="K506" s="9"/>
    </row>
    <row r="507" spans="1:11">
      <c r="A507" s="15"/>
      <c r="B507" s="6"/>
      <c r="C507" s="30"/>
      <c r="D507" s="11"/>
      <c r="E507" s="5"/>
      <c r="F507" s="6"/>
      <c r="G507" s="6"/>
      <c r="I507" s="31"/>
      <c r="J507" s="8"/>
      <c r="K507" s="9"/>
    </row>
    <row r="508" spans="1:11">
      <c r="A508" s="15"/>
      <c r="B508" s="6"/>
      <c r="C508" s="30"/>
      <c r="D508" s="11"/>
      <c r="E508" s="5"/>
      <c r="F508" s="6"/>
      <c r="G508" s="6"/>
      <c r="I508" s="31"/>
      <c r="J508" s="8"/>
      <c r="K508" s="9"/>
    </row>
    <row r="509" spans="1:11">
      <c r="A509" s="15"/>
      <c r="B509" s="6"/>
      <c r="C509" s="30"/>
      <c r="D509" s="11"/>
      <c r="E509" s="5"/>
      <c r="F509" s="6"/>
      <c r="G509" s="6"/>
      <c r="I509" s="31"/>
      <c r="J509" s="8"/>
      <c r="K509" s="9"/>
    </row>
    <row r="510" spans="1:11">
      <c r="A510" s="15"/>
      <c r="B510" s="6"/>
      <c r="C510" s="30"/>
      <c r="D510" s="11"/>
      <c r="E510" s="5"/>
      <c r="F510" s="6"/>
      <c r="G510" s="6"/>
      <c r="I510" s="31"/>
      <c r="J510" s="8"/>
      <c r="K510" s="9"/>
    </row>
    <row r="511" spans="1:11">
      <c r="A511" s="15"/>
      <c r="B511" s="6"/>
      <c r="C511" s="30"/>
      <c r="D511" s="11"/>
      <c r="E511" s="5"/>
      <c r="F511" s="6"/>
      <c r="G511" s="6"/>
      <c r="I511" s="31"/>
      <c r="J511" s="8"/>
      <c r="K511" s="9"/>
    </row>
    <row r="512" spans="1:11">
      <c r="A512" s="15"/>
      <c r="B512" s="6"/>
      <c r="C512" s="30"/>
      <c r="D512" s="11"/>
      <c r="E512" s="5"/>
      <c r="F512" s="6"/>
      <c r="G512" s="6"/>
      <c r="I512" s="31"/>
      <c r="J512" s="8"/>
      <c r="K512" s="9"/>
    </row>
    <row r="513" spans="1:11">
      <c r="A513" s="15"/>
      <c r="B513" s="6"/>
      <c r="C513" s="30"/>
      <c r="D513" s="11"/>
      <c r="E513" s="5"/>
      <c r="F513" s="6"/>
      <c r="G513" s="6"/>
      <c r="I513" s="31"/>
      <c r="J513" s="8"/>
      <c r="K513" s="9"/>
    </row>
    <row r="514" spans="1:11">
      <c r="A514" s="15"/>
      <c r="B514" s="6"/>
      <c r="C514" s="30"/>
      <c r="D514" s="11"/>
      <c r="E514" s="5"/>
      <c r="F514" s="6"/>
      <c r="G514" s="6"/>
      <c r="I514" s="31"/>
      <c r="J514" s="8"/>
      <c r="K514" s="9"/>
    </row>
    <row r="515" spans="1:11">
      <c r="A515" s="15"/>
      <c r="B515" s="6"/>
      <c r="C515" s="30"/>
      <c r="D515" s="11"/>
      <c r="E515" s="5"/>
      <c r="F515" s="6"/>
      <c r="G515" s="6"/>
      <c r="I515" s="31"/>
      <c r="J515" s="8"/>
      <c r="K515" s="9"/>
    </row>
    <row r="516" spans="1:11">
      <c r="A516" s="15"/>
      <c r="B516" s="6"/>
      <c r="C516" s="30"/>
      <c r="D516" s="11"/>
      <c r="E516" s="5"/>
      <c r="F516" s="6"/>
      <c r="G516" s="6"/>
      <c r="I516" s="31"/>
      <c r="J516" s="8"/>
      <c r="K516" s="9"/>
    </row>
    <row r="517" spans="1:11">
      <c r="A517" s="15"/>
      <c r="B517" s="6"/>
      <c r="C517" s="30"/>
      <c r="D517" s="11"/>
      <c r="E517" s="5"/>
      <c r="F517" s="6"/>
      <c r="G517" s="6"/>
      <c r="I517" s="31"/>
      <c r="J517" s="8"/>
      <c r="K517" s="9"/>
    </row>
    <row r="518" spans="1:11">
      <c r="A518" s="15"/>
      <c r="B518" s="6"/>
      <c r="C518" s="30"/>
      <c r="D518" s="11"/>
      <c r="E518" s="5"/>
      <c r="F518" s="6"/>
      <c r="G518" s="6"/>
      <c r="I518" s="31"/>
      <c r="J518" s="8"/>
      <c r="K518" s="9"/>
    </row>
    <row r="519" spans="1:11">
      <c r="A519" s="15"/>
      <c r="B519" s="6"/>
      <c r="C519" s="30"/>
      <c r="D519" s="11"/>
      <c r="E519" s="5"/>
      <c r="F519" s="6"/>
      <c r="G519" s="6"/>
      <c r="I519" s="31"/>
      <c r="J519" s="8"/>
      <c r="K519" s="9"/>
    </row>
    <row r="520" spans="1:11">
      <c r="A520" s="15"/>
      <c r="B520" s="6"/>
      <c r="C520" s="30"/>
      <c r="D520" s="11"/>
      <c r="E520" s="5"/>
      <c r="F520" s="6"/>
      <c r="G520" s="6"/>
      <c r="I520" s="31"/>
      <c r="J520" s="8"/>
      <c r="K520" s="9"/>
    </row>
    <row r="521" spans="1:11">
      <c r="A521" s="15"/>
      <c r="B521" s="6"/>
      <c r="C521" s="30"/>
      <c r="D521" s="11"/>
      <c r="E521" s="5"/>
      <c r="F521" s="6"/>
      <c r="G521" s="6"/>
      <c r="I521" s="31"/>
      <c r="J521" s="8"/>
      <c r="K521" s="9"/>
    </row>
    <row r="522" spans="1:11">
      <c r="A522" s="15"/>
      <c r="B522" s="6"/>
      <c r="C522" s="30"/>
      <c r="D522" s="11"/>
      <c r="E522" s="5"/>
      <c r="F522" s="6"/>
      <c r="G522" s="6"/>
      <c r="I522" s="31"/>
      <c r="J522" s="8"/>
      <c r="K522" s="9"/>
    </row>
    <row r="523" spans="1:11">
      <c r="A523" s="15"/>
      <c r="B523" s="6"/>
      <c r="C523" s="30"/>
      <c r="D523" s="11"/>
      <c r="E523" s="5"/>
      <c r="F523" s="6"/>
      <c r="G523" s="6"/>
      <c r="I523" s="31"/>
      <c r="J523" s="8"/>
      <c r="K523" s="9"/>
    </row>
    <row r="524" spans="1:11">
      <c r="A524" s="15"/>
      <c r="B524" s="6"/>
      <c r="C524" s="30"/>
      <c r="D524" s="11"/>
      <c r="E524" s="5"/>
      <c r="F524" s="6"/>
      <c r="G524" s="6"/>
      <c r="I524" s="31"/>
      <c r="J524" s="8"/>
      <c r="K524" s="9"/>
    </row>
    <row r="525" spans="1:11">
      <c r="A525" s="15"/>
      <c r="B525" s="6"/>
      <c r="C525" s="30"/>
      <c r="D525" s="11"/>
      <c r="E525" s="5"/>
      <c r="F525" s="6"/>
      <c r="G525" s="6"/>
      <c r="I525" s="31"/>
      <c r="J525" s="8"/>
      <c r="K525" s="9"/>
    </row>
    <row r="526" spans="1:11">
      <c r="A526" s="15"/>
      <c r="B526" s="6"/>
      <c r="C526" s="30"/>
      <c r="D526" s="11"/>
      <c r="E526" s="5"/>
      <c r="F526" s="6"/>
      <c r="G526" s="6"/>
      <c r="I526" s="31"/>
      <c r="J526" s="8"/>
      <c r="K526" s="9"/>
    </row>
    <row r="527" spans="1:11">
      <c r="A527" s="15"/>
      <c r="B527" s="6"/>
      <c r="C527" s="30"/>
      <c r="D527" s="11"/>
      <c r="E527" s="5"/>
      <c r="F527" s="6"/>
      <c r="G527" s="6"/>
      <c r="I527" s="31"/>
      <c r="J527" s="8"/>
      <c r="K527" s="9"/>
    </row>
    <row r="528" spans="1:11">
      <c r="A528" s="15"/>
      <c r="B528" s="6"/>
      <c r="C528" s="30"/>
      <c r="D528" s="11"/>
      <c r="E528" s="5"/>
      <c r="F528" s="6"/>
      <c r="G528" s="6"/>
      <c r="I528" s="31"/>
      <c r="J528" s="8"/>
      <c r="K528" s="9"/>
    </row>
    <row r="529" spans="1:11">
      <c r="A529" s="15"/>
      <c r="B529" s="6"/>
      <c r="C529" s="30"/>
      <c r="D529" s="11"/>
      <c r="E529" s="5"/>
      <c r="F529" s="6"/>
      <c r="G529" s="6"/>
      <c r="I529" s="31"/>
      <c r="J529" s="8"/>
      <c r="K529" s="9"/>
    </row>
    <row r="530" spans="1:11">
      <c r="A530" s="15"/>
      <c r="B530" s="6"/>
      <c r="C530" s="30"/>
      <c r="D530" s="11"/>
      <c r="E530" s="5"/>
      <c r="F530" s="6"/>
      <c r="G530" s="6"/>
      <c r="I530" s="31"/>
      <c r="J530" s="8"/>
      <c r="K530" s="9"/>
    </row>
    <row r="531" spans="1:11">
      <c r="A531" s="15"/>
      <c r="B531" s="6"/>
      <c r="C531" s="30"/>
      <c r="D531" s="11"/>
      <c r="E531" s="5"/>
      <c r="F531" s="6"/>
      <c r="G531" s="6"/>
      <c r="I531" s="31"/>
      <c r="J531" s="8"/>
      <c r="K531" s="9"/>
    </row>
    <row r="532" spans="1:11">
      <c r="A532" s="15"/>
      <c r="B532" s="6"/>
      <c r="C532" s="30"/>
      <c r="D532" s="11"/>
      <c r="E532" s="5"/>
      <c r="F532" s="6"/>
      <c r="G532" s="6"/>
      <c r="I532" s="31"/>
      <c r="J532" s="8"/>
      <c r="K532" s="9"/>
    </row>
    <row r="533" spans="1:11">
      <c r="A533" s="15"/>
      <c r="B533" s="6"/>
      <c r="C533" s="30"/>
      <c r="D533" s="11"/>
      <c r="E533" s="5"/>
      <c r="F533" s="6"/>
      <c r="G533" s="6"/>
      <c r="I533" s="31"/>
      <c r="J533" s="8"/>
      <c r="K533" s="9"/>
    </row>
    <row r="534" spans="1:11">
      <c r="A534" s="15"/>
      <c r="B534" s="6"/>
      <c r="C534" s="30"/>
      <c r="D534" s="11"/>
      <c r="E534" s="5"/>
      <c r="F534" s="6"/>
      <c r="G534" s="6"/>
      <c r="I534" s="31"/>
      <c r="J534" s="8"/>
      <c r="K534" s="9"/>
    </row>
    <row r="535" spans="1:11">
      <c r="A535" s="15"/>
      <c r="B535" s="6"/>
      <c r="C535" s="30"/>
      <c r="D535" s="11"/>
      <c r="E535" s="5"/>
      <c r="F535" s="6"/>
      <c r="G535" s="6"/>
      <c r="I535" s="31"/>
      <c r="J535" s="8"/>
      <c r="K535" s="9"/>
    </row>
    <row r="536" spans="1:11">
      <c r="A536" s="15"/>
      <c r="B536" s="6"/>
      <c r="C536" s="30"/>
      <c r="D536" s="11"/>
      <c r="E536" s="5"/>
      <c r="F536" s="6"/>
      <c r="G536" s="6"/>
      <c r="I536" s="31"/>
      <c r="J536" s="8"/>
      <c r="K536" s="9"/>
    </row>
    <row r="537" spans="1:11">
      <c r="A537" s="15"/>
      <c r="B537" s="6"/>
      <c r="C537" s="30"/>
      <c r="D537" s="11"/>
      <c r="E537" s="5"/>
      <c r="F537" s="6"/>
      <c r="G537" s="6"/>
      <c r="I537" s="31"/>
      <c r="J537" s="8"/>
      <c r="K537" s="9"/>
    </row>
    <row r="538" spans="1:11">
      <c r="A538" s="15"/>
      <c r="B538" s="6"/>
      <c r="C538" s="30"/>
      <c r="D538" s="11"/>
      <c r="E538" s="5"/>
      <c r="F538" s="6"/>
      <c r="G538" s="6"/>
      <c r="I538" s="31"/>
      <c r="J538" s="8"/>
      <c r="K538" s="9"/>
    </row>
    <row r="539" spans="1:11">
      <c r="A539" s="15"/>
      <c r="B539" s="6"/>
      <c r="C539" s="30"/>
      <c r="D539" s="11"/>
      <c r="E539" s="5"/>
      <c r="F539" s="6"/>
      <c r="G539" s="6"/>
      <c r="I539" s="31"/>
      <c r="J539" s="8"/>
      <c r="K539" s="9"/>
    </row>
    <row r="540" spans="1:11">
      <c r="A540" s="15"/>
      <c r="B540" s="6"/>
      <c r="C540" s="30"/>
      <c r="D540" s="11"/>
      <c r="E540" s="5"/>
      <c r="F540" s="6"/>
      <c r="G540" s="6"/>
      <c r="I540" s="31"/>
      <c r="J540" s="8"/>
      <c r="K540" s="9"/>
    </row>
    <row r="541" spans="1:11">
      <c r="A541" s="15"/>
      <c r="B541" s="6"/>
      <c r="C541" s="30"/>
      <c r="D541" s="11"/>
      <c r="E541" s="5"/>
      <c r="F541" s="6"/>
      <c r="G541" s="6"/>
      <c r="I541" s="31"/>
      <c r="J541" s="8"/>
      <c r="K541" s="9"/>
    </row>
    <row r="542" spans="1:11">
      <c r="A542" s="15"/>
      <c r="B542" s="6"/>
      <c r="C542" s="30"/>
      <c r="D542" s="11"/>
      <c r="E542" s="5"/>
      <c r="F542" s="6"/>
      <c r="G542" s="6"/>
      <c r="I542" s="31"/>
      <c r="J542" s="8"/>
      <c r="K542" s="9"/>
    </row>
    <row r="543" spans="1:11">
      <c r="A543" s="15"/>
      <c r="B543" s="6"/>
      <c r="C543" s="30"/>
      <c r="D543" s="11"/>
      <c r="E543" s="5"/>
      <c r="F543" s="6"/>
      <c r="G543" s="6"/>
      <c r="I543" s="31"/>
      <c r="J543" s="8"/>
      <c r="K543" s="9"/>
    </row>
    <row r="544" spans="1:11">
      <c r="A544" s="15"/>
      <c r="B544" s="6"/>
      <c r="C544" s="30"/>
      <c r="D544" s="11"/>
      <c r="E544" s="5"/>
      <c r="F544" s="6"/>
      <c r="G544" s="6"/>
      <c r="I544" s="31"/>
      <c r="J544" s="8"/>
      <c r="K544" s="9"/>
    </row>
    <row r="545" spans="1:11">
      <c r="A545" s="15"/>
      <c r="B545" s="6"/>
      <c r="C545" s="30"/>
      <c r="D545" s="11"/>
      <c r="E545" s="5"/>
      <c r="F545" s="6"/>
      <c r="G545" s="6"/>
      <c r="I545" s="31"/>
      <c r="J545" s="8"/>
      <c r="K545" s="9"/>
    </row>
    <row r="546" spans="1:11">
      <c r="A546" s="15"/>
      <c r="B546" s="6"/>
      <c r="C546" s="30"/>
      <c r="D546" s="11"/>
      <c r="E546" s="5"/>
      <c r="F546" s="6"/>
      <c r="G546" s="6"/>
      <c r="I546" s="31"/>
      <c r="J546" s="8"/>
      <c r="K546" s="9"/>
    </row>
    <row r="547" spans="1:11">
      <c r="A547" s="15"/>
      <c r="B547" s="6"/>
      <c r="C547" s="30"/>
      <c r="D547" s="11"/>
      <c r="E547" s="5"/>
      <c r="F547" s="6"/>
      <c r="G547" s="6"/>
      <c r="I547" s="31"/>
      <c r="J547" s="8"/>
      <c r="K547" s="9"/>
    </row>
    <row r="548" spans="1:11">
      <c r="A548" s="15"/>
      <c r="B548" s="6"/>
      <c r="C548" s="30"/>
      <c r="D548" s="11"/>
      <c r="E548" s="5"/>
      <c r="F548" s="6"/>
      <c r="G548" s="6"/>
      <c r="I548" s="31"/>
      <c r="J548" s="8"/>
      <c r="K548" s="9"/>
    </row>
    <row r="549" spans="1:11">
      <c r="A549" s="15"/>
      <c r="B549" s="6"/>
      <c r="C549" s="30"/>
      <c r="D549" s="11"/>
      <c r="E549" s="5"/>
      <c r="F549" s="6"/>
      <c r="G549" s="6"/>
      <c r="I549" s="31"/>
      <c r="J549" s="8"/>
      <c r="K549" s="9"/>
    </row>
    <row r="550" spans="1:11">
      <c r="A550" s="15"/>
      <c r="B550" s="6"/>
      <c r="C550" s="30"/>
      <c r="D550" s="11"/>
      <c r="E550" s="5"/>
      <c r="F550" s="6"/>
      <c r="G550" s="6"/>
      <c r="I550" s="31"/>
      <c r="J550" s="8"/>
      <c r="K550" s="9"/>
    </row>
    <row r="551" spans="1:11">
      <c r="A551" s="15"/>
      <c r="B551" s="6"/>
      <c r="C551" s="30"/>
      <c r="D551" s="11"/>
      <c r="E551" s="5"/>
      <c r="F551" s="6"/>
      <c r="G551" s="6"/>
      <c r="I551" s="31"/>
      <c r="J551" s="8"/>
      <c r="K551" s="9"/>
    </row>
    <row r="552" spans="1:11">
      <c r="A552" s="15"/>
      <c r="B552" s="6"/>
      <c r="C552" s="30"/>
      <c r="D552" s="11"/>
      <c r="E552" s="5"/>
      <c r="F552" s="6"/>
      <c r="G552" s="6"/>
      <c r="I552" s="31"/>
      <c r="J552" s="8"/>
      <c r="K552" s="9"/>
    </row>
    <row r="553" spans="1:11">
      <c r="A553" s="15"/>
      <c r="B553" s="6"/>
      <c r="C553" s="30"/>
      <c r="D553" s="11"/>
      <c r="E553" s="5"/>
      <c r="F553" s="6"/>
      <c r="G553" s="6"/>
      <c r="I553" s="31"/>
      <c r="J553" s="8"/>
      <c r="K553" s="9"/>
    </row>
    <row r="554" spans="1:11">
      <c r="A554" s="15"/>
      <c r="B554" s="6"/>
      <c r="C554" s="30"/>
      <c r="D554" s="11"/>
      <c r="E554" s="5"/>
      <c r="F554" s="6"/>
      <c r="G554" s="6"/>
      <c r="I554" s="31"/>
      <c r="J554" s="8"/>
      <c r="K554" s="9"/>
    </row>
    <row r="555" spans="1:11">
      <c r="A555" s="15"/>
      <c r="B555" s="6"/>
      <c r="C555" s="30"/>
      <c r="D555" s="11"/>
      <c r="E555" s="5"/>
      <c r="F555" s="6"/>
      <c r="G555" s="6"/>
      <c r="I555" s="31"/>
      <c r="J555" s="8"/>
      <c r="K555" s="9"/>
    </row>
    <row r="556" spans="1:11">
      <c r="A556" s="15"/>
      <c r="B556" s="6"/>
      <c r="C556" s="30"/>
      <c r="D556" s="11"/>
      <c r="E556" s="5"/>
      <c r="F556" s="6"/>
      <c r="G556" s="6"/>
      <c r="I556" s="31"/>
      <c r="J556" s="8"/>
      <c r="K556" s="9"/>
    </row>
    <row r="557" spans="1:11">
      <c r="A557" s="15"/>
      <c r="B557" s="6"/>
      <c r="C557" s="30"/>
      <c r="D557" s="11"/>
      <c r="E557" s="5"/>
      <c r="F557" s="6"/>
      <c r="G557" s="6"/>
      <c r="I557" s="31"/>
      <c r="J557" s="8"/>
      <c r="K557" s="9"/>
    </row>
    <row r="558" spans="1:11">
      <c r="A558" s="15"/>
      <c r="B558" s="6"/>
      <c r="C558" s="30"/>
      <c r="D558" s="11"/>
      <c r="E558" s="5"/>
      <c r="F558" s="6"/>
      <c r="G558" s="6"/>
      <c r="I558" s="31"/>
      <c r="J558" s="8"/>
      <c r="K558" s="9"/>
    </row>
    <row r="559" spans="1:11">
      <c r="A559" s="15"/>
      <c r="B559" s="6"/>
      <c r="C559" s="30"/>
      <c r="D559" s="11"/>
      <c r="E559" s="5"/>
      <c r="F559" s="6"/>
      <c r="G559" s="6"/>
      <c r="I559" s="31"/>
      <c r="J559" s="8"/>
      <c r="K559" s="9"/>
    </row>
    <row r="560" spans="1:11">
      <c r="A560" s="15"/>
      <c r="B560" s="6"/>
      <c r="C560" s="30"/>
      <c r="D560" s="11"/>
      <c r="E560" s="5"/>
      <c r="F560" s="6"/>
      <c r="G560" s="6"/>
      <c r="I560" s="31"/>
      <c r="J560" s="8"/>
      <c r="K560" s="9"/>
    </row>
    <row r="561" spans="1:11">
      <c r="A561" s="15"/>
      <c r="B561" s="6"/>
      <c r="C561" s="30"/>
      <c r="D561" s="11"/>
      <c r="E561" s="5"/>
      <c r="F561" s="6"/>
      <c r="G561" s="6"/>
      <c r="I561" s="31"/>
      <c r="J561" s="8"/>
      <c r="K561" s="9"/>
    </row>
    <row r="562" spans="1:11">
      <c r="A562" s="15"/>
      <c r="B562" s="6"/>
      <c r="C562" s="30"/>
      <c r="D562" s="11"/>
      <c r="E562" s="5"/>
      <c r="F562" s="6"/>
      <c r="G562" s="6"/>
      <c r="I562" s="31"/>
      <c r="J562" s="8"/>
      <c r="K562" s="9"/>
    </row>
    <row r="563" spans="1:11">
      <c r="A563" s="15"/>
      <c r="B563" s="6"/>
      <c r="C563" s="30"/>
      <c r="D563" s="11"/>
      <c r="E563" s="5"/>
      <c r="F563" s="6"/>
      <c r="G563" s="6"/>
      <c r="I563" s="31"/>
      <c r="J563" s="8"/>
      <c r="K563" s="9"/>
    </row>
    <row r="564" spans="1:11">
      <c r="A564" s="15"/>
      <c r="B564" s="6"/>
      <c r="C564" s="30"/>
      <c r="D564" s="11"/>
      <c r="E564" s="5"/>
      <c r="F564" s="6"/>
      <c r="G564" s="6"/>
      <c r="I564" s="31"/>
      <c r="J564" s="8"/>
      <c r="K564" s="9"/>
    </row>
    <row r="565" spans="1:11">
      <c r="A565" s="15"/>
      <c r="B565" s="6"/>
      <c r="C565" s="30"/>
      <c r="D565" s="11"/>
      <c r="E565" s="5"/>
      <c r="F565" s="6"/>
      <c r="G565" s="6"/>
      <c r="I565" s="31"/>
      <c r="J565" s="8"/>
      <c r="K565" s="9"/>
    </row>
    <row r="566" spans="1:11">
      <c r="A566" s="15"/>
      <c r="B566" s="6"/>
      <c r="C566" s="30"/>
      <c r="D566" s="11"/>
      <c r="E566" s="5"/>
      <c r="F566" s="6"/>
      <c r="G566" s="6"/>
      <c r="I566" s="31"/>
      <c r="J566" s="8"/>
      <c r="K566" s="9"/>
    </row>
    <row r="567" spans="1:11">
      <c r="A567" s="15"/>
      <c r="B567" s="6"/>
      <c r="C567" s="30"/>
      <c r="D567" s="11"/>
      <c r="E567" s="5"/>
      <c r="F567" s="6"/>
      <c r="G567" s="6"/>
      <c r="I567" s="31"/>
      <c r="J567" s="8"/>
      <c r="K567" s="9"/>
    </row>
    <row r="568" spans="1:11">
      <c r="A568" s="15"/>
      <c r="B568" s="6"/>
      <c r="C568" s="30"/>
      <c r="D568" s="11"/>
      <c r="E568" s="5"/>
      <c r="F568" s="6"/>
      <c r="G568" s="6"/>
      <c r="I568" s="31"/>
      <c r="J568" s="8"/>
      <c r="K568" s="9"/>
    </row>
    <row r="569" spans="1:11">
      <c r="A569" s="15"/>
      <c r="B569" s="6"/>
      <c r="C569" s="30"/>
      <c r="D569" s="11"/>
      <c r="E569" s="5"/>
      <c r="F569" s="6"/>
      <c r="G569" s="6"/>
      <c r="I569" s="31"/>
      <c r="J569" s="8"/>
      <c r="K569" s="9"/>
    </row>
    <row r="570" spans="1:11">
      <c r="A570" s="15"/>
      <c r="B570" s="6"/>
      <c r="C570" s="30"/>
      <c r="D570" s="11"/>
      <c r="E570" s="5"/>
      <c r="F570" s="6"/>
      <c r="G570" s="6"/>
      <c r="I570" s="31"/>
      <c r="J570" s="8"/>
      <c r="K570" s="9"/>
    </row>
    <row r="571" spans="1:11">
      <c r="A571" s="15"/>
      <c r="B571" s="6"/>
      <c r="C571" s="30"/>
      <c r="D571" s="11"/>
      <c r="E571" s="5"/>
      <c r="F571" s="6"/>
      <c r="G571" s="6"/>
      <c r="I571" s="31"/>
      <c r="J571" s="8"/>
      <c r="K571" s="9"/>
    </row>
    <row r="572" spans="1:11">
      <c r="A572" s="15"/>
      <c r="B572" s="6"/>
      <c r="C572" s="30"/>
      <c r="D572" s="11"/>
      <c r="E572" s="5"/>
      <c r="F572" s="6"/>
      <c r="G572" s="6"/>
      <c r="I572" s="31"/>
      <c r="J572" s="8"/>
      <c r="K572" s="9"/>
    </row>
    <row r="573" spans="1:11">
      <c r="A573" s="15"/>
      <c r="B573" s="6"/>
      <c r="C573" s="30"/>
      <c r="D573" s="11"/>
      <c r="E573" s="5"/>
      <c r="F573" s="6"/>
      <c r="G573" s="6"/>
      <c r="I573" s="31"/>
      <c r="J573" s="8"/>
      <c r="K573" s="9"/>
    </row>
    <row r="574" spans="1:11">
      <c r="A574" s="15"/>
      <c r="B574" s="6"/>
      <c r="C574" s="30"/>
      <c r="D574" s="11"/>
      <c r="E574" s="5"/>
      <c r="F574" s="6"/>
      <c r="G574" s="6"/>
      <c r="I574" s="31"/>
      <c r="J574" s="8"/>
      <c r="K574" s="9"/>
    </row>
    <row r="575" spans="1:11">
      <c r="A575" s="15"/>
      <c r="B575" s="6"/>
      <c r="C575" s="30"/>
      <c r="D575" s="11"/>
      <c r="E575" s="5"/>
      <c r="F575" s="6"/>
      <c r="G575" s="6"/>
      <c r="I575" s="31"/>
      <c r="J575" s="8"/>
      <c r="K575" s="9"/>
    </row>
    <row r="576" spans="1:11">
      <c r="A576" s="15"/>
      <c r="B576" s="6"/>
      <c r="C576" s="30"/>
      <c r="D576" s="11"/>
      <c r="E576" s="5"/>
      <c r="F576" s="6"/>
      <c r="G576" s="6"/>
      <c r="I576" s="31"/>
      <c r="J576" s="8"/>
      <c r="K576" s="9"/>
    </row>
    <row r="577" spans="1:11">
      <c r="A577" s="15"/>
      <c r="B577" s="6"/>
      <c r="C577" s="30"/>
      <c r="D577" s="11"/>
      <c r="E577" s="5"/>
      <c r="F577" s="6"/>
      <c r="G577" s="6"/>
      <c r="I577" s="31"/>
      <c r="J577" s="8"/>
      <c r="K577" s="9"/>
    </row>
    <row r="578" spans="1:11">
      <c r="A578" s="15"/>
      <c r="B578" s="6"/>
      <c r="C578" s="30"/>
      <c r="D578" s="11"/>
      <c r="E578" s="5"/>
      <c r="F578" s="6"/>
      <c r="G578" s="6"/>
      <c r="I578" s="31"/>
      <c r="J578" s="8"/>
      <c r="K578" s="9"/>
    </row>
    <row r="579" spans="1:11">
      <c r="A579" s="15"/>
      <c r="B579" s="6"/>
      <c r="C579" s="30"/>
      <c r="D579" s="11"/>
      <c r="E579" s="5"/>
      <c r="F579" s="6"/>
      <c r="G579" s="6"/>
      <c r="I579" s="31"/>
      <c r="J579" s="8"/>
      <c r="K579" s="9"/>
    </row>
    <row r="580" spans="1:11">
      <c r="A580" s="15"/>
      <c r="B580" s="6"/>
      <c r="C580" s="30"/>
      <c r="D580" s="11"/>
      <c r="E580" s="5"/>
      <c r="F580" s="6"/>
      <c r="G580" s="6"/>
      <c r="I580" s="31"/>
      <c r="J580" s="8"/>
      <c r="K580" s="9"/>
    </row>
    <row r="581" spans="1:11">
      <c r="A581" s="15"/>
      <c r="B581" s="6"/>
      <c r="C581" s="30"/>
      <c r="D581" s="11"/>
      <c r="E581" s="5"/>
      <c r="F581" s="6"/>
      <c r="G581" s="6"/>
      <c r="I581" s="31"/>
      <c r="J581" s="8"/>
      <c r="K581" s="9"/>
    </row>
    <row r="582" spans="1:11">
      <c r="A582" s="15"/>
      <c r="B582" s="6"/>
      <c r="C582" s="30"/>
      <c r="D582" s="11"/>
      <c r="E582" s="5"/>
      <c r="F582" s="6"/>
      <c r="G582" s="6"/>
      <c r="I582" s="31"/>
      <c r="J582" s="8"/>
      <c r="K582" s="9"/>
    </row>
    <row r="583" spans="1:11">
      <c r="A583" s="15"/>
      <c r="B583" s="6"/>
      <c r="C583" s="30"/>
      <c r="D583" s="11"/>
      <c r="E583" s="5"/>
      <c r="F583" s="6"/>
      <c r="G583" s="6"/>
      <c r="I583" s="31"/>
      <c r="J583" s="8"/>
      <c r="K583" s="9"/>
    </row>
    <row r="584" spans="1:11">
      <c r="A584" s="15"/>
      <c r="B584" s="6"/>
      <c r="C584" s="30"/>
      <c r="D584" s="11"/>
      <c r="E584" s="5"/>
      <c r="F584" s="6"/>
      <c r="G584" s="6"/>
      <c r="I584" s="31"/>
      <c r="J584" s="8"/>
      <c r="K584" s="9"/>
    </row>
    <row r="585" spans="1:11">
      <c r="A585" s="15"/>
      <c r="B585" s="6"/>
      <c r="C585" s="30"/>
      <c r="D585" s="11"/>
      <c r="E585" s="5"/>
      <c r="F585" s="6"/>
      <c r="G585" s="6"/>
      <c r="I585" s="31"/>
      <c r="J585" s="8"/>
      <c r="K585" s="9"/>
    </row>
    <row r="586" spans="1:11">
      <c r="A586" s="15"/>
      <c r="B586" s="6"/>
      <c r="C586" s="30"/>
      <c r="D586" s="11"/>
      <c r="E586" s="5"/>
      <c r="F586" s="6"/>
      <c r="G586" s="6"/>
      <c r="I586" s="31"/>
      <c r="J586" s="8"/>
      <c r="K586" s="9"/>
    </row>
    <row r="587" spans="1:11">
      <c r="A587" s="15"/>
      <c r="B587" s="6"/>
      <c r="C587" s="30"/>
      <c r="D587" s="11"/>
      <c r="E587" s="5"/>
      <c r="F587" s="6"/>
      <c r="G587" s="6"/>
      <c r="I587" s="31"/>
      <c r="J587" s="8"/>
      <c r="K587" s="9"/>
    </row>
    <row r="588" spans="1:11">
      <c r="A588" s="15"/>
      <c r="B588" s="6"/>
      <c r="C588" s="30"/>
      <c r="D588" s="11"/>
      <c r="E588" s="5"/>
      <c r="F588" s="6"/>
      <c r="G588" s="6"/>
      <c r="I588" s="31"/>
      <c r="J588" s="8"/>
      <c r="K588" s="9"/>
    </row>
    <row r="589" spans="1:11">
      <c r="A589" s="15"/>
      <c r="B589" s="6"/>
      <c r="C589" s="30"/>
      <c r="D589" s="11"/>
      <c r="E589" s="5"/>
      <c r="F589" s="6"/>
      <c r="G589" s="6"/>
      <c r="I589" s="31"/>
      <c r="J589" s="8"/>
      <c r="K589" s="9"/>
    </row>
    <row r="590" spans="1:11">
      <c r="A590" s="15"/>
      <c r="B590" s="6"/>
      <c r="C590" s="30"/>
      <c r="D590" s="11"/>
      <c r="E590" s="5"/>
      <c r="F590" s="6"/>
      <c r="G590" s="6"/>
      <c r="I590" s="31"/>
      <c r="J590" s="8"/>
      <c r="K590" s="9"/>
    </row>
    <row r="591" spans="1:11">
      <c r="A591" s="15"/>
      <c r="B591" s="6"/>
      <c r="C591" s="30"/>
      <c r="D591" s="11"/>
      <c r="E591" s="5"/>
      <c r="F591" s="6"/>
      <c r="G591" s="6"/>
      <c r="I591" s="31"/>
      <c r="J591" s="8"/>
      <c r="K591" s="9"/>
    </row>
    <row r="592" spans="1:11">
      <c r="A592" s="15"/>
      <c r="B592" s="6"/>
      <c r="C592" s="30"/>
      <c r="D592" s="11"/>
      <c r="E592" s="5"/>
      <c r="F592" s="6"/>
      <c r="G592" s="6"/>
      <c r="I592" s="31"/>
      <c r="J592" s="8"/>
      <c r="K592" s="9"/>
    </row>
    <row r="593" spans="1:11">
      <c r="A593" s="15"/>
      <c r="B593" s="6"/>
      <c r="C593" s="30"/>
      <c r="D593" s="11"/>
      <c r="E593" s="5"/>
      <c r="F593" s="6"/>
      <c r="G593" s="6"/>
      <c r="I593" s="31"/>
      <c r="J593" s="8"/>
      <c r="K593" s="9"/>
    </row>
    <row r="594" spans="1:11">
      <c r="A594" s="15"/>
      <c r="B594" s="6"/>
      <c r="C594" s="30"/>
      <c r="D594" s="11"/>
      <c r="E594" s="5"/>
      <c r="F594" s="6"/>
      <c r="G594" s="6"/>
      <c r="I594" s="31"/>
      <c r="J594" s="8"/>
      <c r="K594" s="9"/>
    </row>
    <row r="595" spans="1:11">
      <c r="A595" s="15"/>
      <c r="B595" s="6"/>
      <c r="C595" s="30"/>
      <c r="D595" s="11"/>
      <c r="E595" s="5"/>
      <c r="F595" s="6"/>
      <c r="G595" s="6"/>
      <c r="I595" s="31"/>
      <c r="J595" s="8"/>
      <c r="K595" s="9"/>
    </row>
    <row r="596" spans="1:11">
      <c r="A596" s="15"/>
      <c r="B596" s="6"/>
      <c r="C596" s="30"/>
      <c r="D596" s="11"/>
      <c r="E596" s="5"/>
      <c r="F596" s="6"/>
      <c r="G596" s="6"/>
      <c r="I596" s="31"/>
      <c r="J596" s="8"/>
      <c r="K596" s="9"/>
    </row>
    <row r="597" spans="1:11">
      <c r="A597" s="15"/>
      <c r="B597" s="6"/>
      <c r="C597" s="30"/>
      <c r="D597" s="11"/>
      <c r="E597" s="5"/>
      <c r="F597" s="6"/>
      <c r="G597" s="6"/>
      <c r="I597" s="31"/>
      <c r="J597" s="8"/>
      <c r="K597" s="9"/>
    </row>
    <row r="598" spans="1:11">
      <c r="A598" s="15"/>
      <c r="B598" s="6"/>
      <c r="C598" s="30"/>
      <c r="D598" s="11"/>
      <c r="E598" s="5"/>
      <c r="F598" s="6"/>
      <c r="G598" s="6"/>
      <c r="I598" s="31"/>
      <c r="J598" s="8"/>
      <c r="K598" s="9"/>
    </row>
    <row r="599" spans="1:11">
      <c r="A599" s="15"/>
      <c r="B599" s="6"/>
      <c r="C599" s="30"/>
      <c r="D599" s="11"/>
      <c r="E599" s="5"/>
      <c r="F599" s="6"/>
      <c r="G599" s="6"/>
      <c r="I599" s="31"/>
      <c r="J599" s="8"/>
      <c r="K599" s="9"/>
    </row>
    <row r="600" spans="1:11">
      <c r="A600" s="15"/>
      <c r="B600" s="6"/>
      <c r="C600" s="30"/>
      <c r="D600" s="11"/>
      <c r="E600" s="5"/>
      <c r="F600" s="6"/>
      <c r="G600" s="6"/>
      <c r="I600" s="31"/>
      <c r="J600" s="8"/>
      <c r="K600" s="9"/>
    </row>
    <row r="601" spans="1:11">
      <c r="A601" s="15"/>
      <c r="B601" s="6"/>
      <c r="C601" s="30"/>
      <c r="D601" s="11"/>
      <c r="E601" s="5"/>
      <c r="F601" s="6"/>
      <c r="G601" s="6"/>
      <c r="I601" s="31"/>
      <c r="J601" s="8"/>
      <c r="K601" s="9"/>
    </row>
    <row r="602" spans="1:11">
      <c r="A602" s="15"/>
      <c r="B602" s="6"/>
      <c r="C602" s="30"/>
      <c r="D602" s="11"/>
      <c r="E602" s="5"/>
      <c r="F602" s="6"/>
      <c r="G602" s="6"/>
      <c r="I602" s="31"/>
      <c r="J602" s="8"/>
      <c r="K602" s="9"/>
    </row>
    <row r="603" spans="1:11">
      <c r="A603" s="15"/>
      <c r="B603" s="6"/>
      <c r="C603" s="30"/>
      <c r="D603" s="11"/>
      <c r="E603" s="5"/>
      <c r="F603" s="6"/>
      <c r="G603" s="6"/>
      <c r="I603" s="31"/>
      <c r="J603" s="8"/>
      <c r="K603" s="9"/>
    </row>
    <row r="604" spans="1:11">
      <c r="A604" s="15"/>
      <c r="B604" s="6"/>
      <c r="C604" s="30"/>
      <c r="D604" s="11"/>
      <c r="E604" s="5"/>
      <c r="F604" s="6"/>
      <c r="G604" s="6"/>
      <c r="I604" s="31"/>
      <c r="J604" s="8"/>
      <c r="K604" s="9"/>
    </row>
    <row r="605" spans="1:11">
      <c r="A605" s="15"/>
      <c r="B605" s="6"/>
      <c r="C605" s="30"/>
      <c r="D605" s="11"/>
      <c r="E605" s="5"/>
      <c r="F605" s="6"/>
      <c r="G605" s="6"/>
      <c r="I605" s="31"/>
      <c r="J605" s="8"/>
      <c r="K605" s="9"/>
    </row>
    <row r="606" spans="1:11">
      <c r="A606" s="15"/>
      <c r="B606" s="6"/>
      <c r="C606" s="30"/>
      <c r="D606" s="11"/>
      <c r="E606" s="5"/>
      <c r="F606" s="6"/>
      <c r="G606" s="6"/>
      <c r="I606" s="31"/>
      <c r="J606" s="8"/>
      <c r="K606" s="9"/>
    </row>
    <row r="607" spans="1:11">
      <c r="A607" s="15"/>
      <c r="B607" s="6"/>
      <c r="C607" s="30"/>
      <c r="D607" s="11"/>
      <c r="E607" s="5"/>
      <c r="F607" s="6"/>
      <c r="G607" s="6"/>
      <c r="I607" s="31"/>
      <c r="J607" s="8"/>
      <c r="K607" s="9"/>
    </row>
    <row r="608" spans="1:11">
      <c r="A608" s="15"/>
      <c r="B608" s="6"/>
      <c r="C608" s="30"/>
      <c r="D608" s="11"/>
      <c r="E608" s="5"/>
      <c r="F608" s="6"/>
      <c r="G608" s="6"/>
      <c r="I608" s="31"/>
      <c r="J608" s="8"/>
      <c r="K608" s="9"/>
    </row>
    <row r="609" spans="1:11">
      <c r="A609" s="15"/>
      <c r="B609" s="6"/>
      <c r="C609" s="30"/>
      <c r="D609" s="11"/>
      <c r="E609" s="5"/>
      <c r="F609" s="6"/>
      <c r="G609" s="6"/>
      <c r="I609" s="31"/>
      <c r="J609" s="8"/>
      <c r="K609" s="9"/>
    </row>
    <row r="610" spans="1:11">
      <c r="A610" s="15"/>
      <c r="B610" s="6"/>
      <c r="C610" s="30"/>
      <c r="D610" s="11"/>
      <c r="E610" s="5"/>
      <c r="F610" s="6"/>
      <c r="G610" s="6"/>
      <c r="I610" s="31"/>
      <c r="J610" s="8"/>
      <c r="K610" s="9"/>
    </row>
    <row r="611" spans="1:11">
      <c r="A611" s="15"/>
      <c r="B611" s="6"/>
      <c r="C611" s="30"/>
      <c r="D611" s="11"/>
      <c r="E611" s="5"/>
      <c r="F611" s="6"/>
      <c r="G611" s="6"/>
      <c r="I611" s="31"/>
      <c r="J611" s="8"/>
      <c r="K611" s="9"/>
    </row>
    <row r="612" spans="1:11">
      <c r="A612" s="15"/>
      <c r="B612" s="6"/>
      <c r="C612" s="30"/>
      <c r="D612" s="11"/>
      <c r="E612" s="5"/>
      <c r="F612" s="6"/>
      <c r="G612" s="6"/>
      <c r="I612" s="31"/>
      <c r="J612" s="8"/>
      <c r="K612" s="9"/>
    </row>
    <row r="613" spans="1:11">
      <c r="A613" s="15"/>
      <c r="B613" s="6"/>
      <c r="C613" s="30"/>
      <c r="D613" s="11"/>
      <c r="E613" s="5"/>
      <c r="F613" s="6"/>
      <c r="G613" s="6"/>
      <c r="I613" s="31"/>
      <c r="J613" s="8"/>
      <c r="K613" s="9"/>
    </row>
    <row r="614" spans="1:11">
      <c r="A614" s="15"/>
      <c r="B614" s="6"/>
      <c r="C614" s="30"/>
      <c r="D614" s="11"/>
      <c r="E614" s="5"/>
      <c r="F614" s="6"/>
      <c r="G614" s="6"/>
      <c r="I614" s="31"/>
      <c r="J614" s="8"/>
      <c r="K614" s="9"/>
    </row>
    <row r="615" spans="1:11">
      <c r="A615" s="15"/>
      <c r="B615" s="6"/>
      <c r="C615" s="30"/>
      <c r="D615" s="11"/>
      <c r="E615" s="5"/>
      <c r="F615" s="6"/>
      <c r="G615" s="6"/>
      <c r="I615" s="31"/>
      <c r="J615" s="8"/>
      <c r="K615" s="9"/>
    </row>
    <row r="616" spans="1:11">
      <c r="A616" s="15"/>
      <c r="B616" s="6"/>
      <c r="C616" s="30"/>
      <c r="D616" s="11"/>
      <c r="E616" s="5"/>
      <c r="F616" s="6"/>
      <c r="G616" s="6"/>
      <c r="I616" s="31"/>
      <c r="J616" s="8"/>
      <c r="K616" s="9"/>
    </row>
    <row r="617" spans="1:11">
      <c r="A617" s="15"/>
      <c r="B617" s="6"/>
      <c r="C617" s="30"/>
      <c r="D617" s="11"/>
      <c r="E617" s="5"/>
      <c r="F617" s="6"/>
      <c r="G617" s="6"/>
      <c r="I617" s="31"/>
      <c r="J617" s="8"/>
      <c r="K617" s="9"/>
    </row>
    <row r="618" spans="1:11">
      <c r="A618" s="15"/>
      <c r="B618" s="6"/>
      <c r="C618" s="30"/>
      <c r="D618" s="11"/>
      <c r="E618" s="5"/>
      <c r="F618" s="6"/>
      <c r="G618" s="6"/>
      <c r="I618" s="31"/>
      <c r="J618" s="8"/>
      <c r="K618" s="9"/>
    </row>
    <row r="619" spans="1:11">
      <c r="A619" s="15"/>
      <c r="B619" s="6"/>
      <c r="C619" s="30"/>
      <c r="D619" s="11"/>
      <c r="E619" s="5"/>
      <c r="F619" s="6"/>
      <c r="G619" s="6"/>
      <c r="I619" s="31"/>
      <c r="J619" s="8"/>
      <c r="K619" s="9"/>
    </row>
    <row r="620" spans="1:11">
      <c r="A620" s="15"/>
      <c r="B620" s="6"/>
      <c r="C620" s="30"/>
      <c r="D620" s="11"/>
      <c r="E620" s="5"/>
      <c r="F620" s="6"/>
      <c r="G620" s="6"/>
      <c r="I620" s="31"/>
      <c r="J620" s="8"/>
      <c r="K620" s="9"/>
    </row>
    <row r="621" spans="1:11">
      <c r="A621" s="15"/>
      <c r="B621" s="6"/>
      <c r="C621" s="30"/>
      <c r="D621" s="11"/>
      <c r="E621" s="5"/>
      <c r="F621" s="6"/>
      <c r="G621" s="6"/>
      <c r="I621" s="31"/>
      <c r="J621" s="8"/>
      <c r="K621" s="9"/>
    </row>
    <row r="622" spans="1:11">
      <c r="A622" s="15"/>
      <c r="B622" s="6"/>
      <c r="C622" s="30"/>
      <c r="D622" s="11"/>
      <c r="E622" s="5"/>
      <c r="F622" s="6"/>
      <c r="G622" s="6"/>
      <c r="I622" s="31"/>
      <c r="J622" s="8"/>
      <c r="K622" s="9"/>
    </row>
    <row r="623" spans="1:11">
      <c r="A623" s="15"/>
      <c r="B623" s="6"/>
      <c r="C623" s="30"/>
      <c r="D623" s="11"/>
      <c r="E623" s="5"/>
      <c r="F623" s="6"/>
      <c r="G623" s="6"/>
      <c r="I623" s="31"/>
      <c r="J623" s="8"/>
      <c r="K623" s="9"/>
    </row>
    <row r="624" spans="1:11">
      <c r="A624" s="15"/>
      <c r="B624" s="6"/>
      <c r="C624" s="30"/>
      <c r="D624" s="11"/>
      <c r="E624" s="5"/>
      <c r="F624" s="6"/>
      <c r="G624" s="6"/>
      <c r="I624" s="31"/>
      <c r="J624" s="8"/>
      <c r="K624" s="9"/>
    </row>
    <row r="625" spans="1:11">
      <c r="A625" s="15"/>
      <c r="B625" s="6"/>
      <c r="C625" s="30"/>
      <c r="D625" s="11"/>
      <c r="E625" s="5"/>
      <c r="F625" s="6"/>
      <c r="G625" s="6"/>
      <c r="I625" s="31"/>
      <c r="J625" s="8"/>
      <c r="K625" s="9"/>
    </row>
    <row r="626" spans="1:11">
      <c r="A626" s="15"/>
      <c r="B626" s="6"/>
      <c r="C626" s="30"/>
      <c r="D626" s="11"/>
      <c r="E626" s="5"/>
      <c r="F626" s="6"/>
      <c r="G626" s="6"/>
      <c r="I626" s="31"/>
      <c r="J626" s="8"/>
      <c r="K626" s="9"/>
    </row>
    <row r="627" spans="1:11">
      <c r="A627" s="15"/>
      <c r="B627" s="6"/>
      <c r="C627" s="30"/>
      <c r="D627" s="11"/>
      <c r="E627" s="5"/>
      <c r="F627" s="6"/>
      <c r="G627" s="6"/>
      <c r="I627" s="31"/>
      <c r="J627" s="8"/>
      <c r="K627" s="9"/>
    </row>
    <row r="628" spans="1:11">
      <c r="A628" s="15"/>
      <c r="B628" s="6"/>
      <c r="C628" s="30"/>
      <c r="D628" s="11"/>
      <c r="E628" s="5"/>
      <c r="F628" s="6"/>
      <c r="G628" s="6"/>
      <c r="I628" s="31"/>
      <c r="J628" s="8"/>
      <c r="K628" s="9"/>
    </row>
    <row r="629" spans="1:11">
      <c r="A629" s="15"/>
      <c r="B629" s="6"/>
      <c r="C629" s="30"/>
      <c r="D629" s="11"/>
      <c r="E629" s="5"/>
      <c r="F629" s="6"/>
      <c r="G629" s="6"/>
      <c r="I629" s="31"/>
      <c r="J629" s="8"/>
      <c r="K629" s="9"/>
    </row>
    <row r="630" spans="1:11">
      <c r="A630" s="15"/>
      <c r="B630" s="6"/>
      <c r="C630" s="30"/>
      <c r="D630" s="11"/>
      <c r="E630" s="5"/>
      <c r="F630" s="6"/>
      <c r="G630" s="6"/>
      <c r="I630" s="31"/>
      <c r="J630" s="8"/>
      <c r="K630" s="9"/>
    </row>
    <row r="631" spans="1:11">
      <c r="A631" s="15"/>
      <c r="B631" s="6"/>
      <c r="C631" s="30"/>
      <c r="D631" s="11"/>
      <c r="E631" s="5"/>
      <c r="F631" s="6"/>
      <c r="G631" s="6"/>
      <c r="I631" s="31"/>
      <c r="J631" s="8"/>
      <c r="K631" s="9"/>
    </row>
    <row r="632" spans="1:11">
      <c r="A632" s="15"/>
      <c r="B632" s="6"/>
      <c r="C632" s="30"/>
      <c r="D632" s="11"/>
      <c r="E632" s="5"/>
      <c r="F632" s="6"/>
      <c r="G632" s="6"/>
      <c r="I632" s="31"/>
      <c r="J632" s="8"/>
      <c r="K632" s="9"/>
    </row>
    <row r="633" spans="1:11">
      <c r="A633" s="15"/>
      <c r="B633" s="6"/>
      <c r="C633" s="30"/>
      <c r="D633" s="11"/>
      <c r="E633" s="5"/>
      <c r="F633" s="6"/>
      <c r="G633" s="6"/>
      <c r="I633" s="31"/>
      <c r="J633" s="8"/>
      <c r="K633" s="9"/>
    </row>
    <row r="634" spans="1:11">
      <c r="A634" s="15"/>
      <c r="B634" s="6"/>
      <c r="C634" s="30"/>
      <c r="D634" s="11"/>
      <c r="E634" s="5"/>
      <c r="F634" s="6"/>
      <c r="G634" s="6"/>
      <c r="I634" s="31"/>
      <c r="J634" s="8"/>
      <c r="K634" s="9"/>
    </row>
    <row r="635" spans="1:11">
      <c r="A635" s="15"/>
      <c r="B635" s="6"/>
      <c r="C635" s="30"/>
      <c r="D635" s="11"/>
      <c r="E635" s="5"/>
      <c r="F635" s="6"/>
      <c r="G635" s="6"/>
      <c r="I635" s="31"/>
      <c r="J635" s="8"/>
      <c r="K635" s="9"/>
    </row>
    <row r="636" spans="1:11">
      <c r="A636" s="15"/>
      <c r="B636" s="6"/>
      <c r="C636" s="30"/>
      <c r="D636" s="11"/>
      <c r="E636" s="5"/>
      <c r="F636" s="6"/>
      <c r="G636" s="6"/>
      <c r="I636" s="31"/>
      <c r="J636" s="8"/>
      <c r="K636" s="9"/>
    </row>
    <row r="637" spans="1:11">
      <c r="A637" s="15"/>
      <c r="B637" s="6"/>
      <c r="C637" s="30"/>
      <c r="D637" s="11"/>
      <c r="E637" s="5"/>
      <c r="F637" s="6"/>
      <c r="G637" s="6"/>
      <c r="I637" s="31"/>
      <c r="J637" s="8"/>
      <c r="K637" s="9"/>
    </row>
    <row r="638" spans="1:11">
      <c r="A638" s="15"/>
      <c r="B638" s="6"/>
      <c r="C638" s="30"/>
      <c r="D638" s="11"/>
      <c r="E638" s="5"/>
      <c r="F638" s="6"/>
      <c r="G638" s="6"/>
      <c r="I638" s="31"/>
      <c r="J638" s="8"/>
      <c r="K638" s="9"/>
    </row>
    <row r="639" spans="1:11">
      <c r="A639" s="15"/>
      <c r="B639" s="6"/>
      <c r="C639" s="30"/>
      <c r="D639" s="11"/>
      <c r="E639" s="5"/>
      <c r="F639" s="6"/>
      <c r="G639" s="6"/>
      <c r="I639" s="31"/>
      <c r="J639" s="8"/>
      <c r="K639" s="9"/>
    </row>
    <row r="640" spans="1:11">
      <c r="A640" s="15"/>
      <c r="B640" s="6"/>
      <c r="C640" s="30"/>
      <c r="D640" s="11"/>
      <c r="E640" s="5"/>
      <c r="F640" s="6"/>
      <c r="G640" s="6"/>
      <c r="I640" s="31"/>
      <c r="J640" s="8"/>
      <c r="K640" s="9"/>
    </row>
    <row r="641" spans="1:11">
      <c r="A641" s="15"/>
      <c r="B641" s="6"/>
      <c r="C641" s="30"/>
      <c r="D641" s="11"/>
      <c r="E641" s="5"/>
      <c r="F641" s="6"/>
      <c r="G641" s="6"/>
      <c r="I641" s="31"/>
      <c r="J641" s="8"/>
      <c r="K641" s="9"/>
    </row>
    <row r="642" spans="1:11">
      <c r="A642" s="15"/>
      <c r="B642" s="6"/>
      <c r="C642" s="30"/>
      <c r="D642" s="11"/>
      <c r="E642" s="5"/>
      <c r="F642" s="6"/>
      <c r="G642" s="6"/>
      <c r="I642" s="31"/>
      <c r="J642" s="8"/>
      <c r="K642" s="9"/>
    </row>
    <row r="643" spans="1:11">
      <c r="A643" s="15"/>
      <c r="B643" s="6"/>
      <c r="C643" s="30"/>
      <c r="D643" s="11"/>
      <c r="E643" s="5"/>
      <c r="F643" s="6"/>
      <c r="G643" s="6"/>
      <c r="I643" s="31"/>
      <c r="J643" s="8"/>
      <c r="K643" s="9"/>
    </row>
    <row r="644" spans="1:11">
      <c r="A644" s="15"/>
      <c r="B644" s="6"/>
      <c r="C644" s="30"/>
      <c r="D644" s="11"/>
      <c r="E644" s="5"/>
      <c r="F644" s="6"/>
      <c r="G644" s="6"/>
      <c r="I644" s="31"/>
      <c r="J644" s="8"/>
      <c r="K644" s="9"/>
    </row>
    <row r="645" spans="1:11">
      <c r="A645" s="15"/>
      <c r="B645" s="6"/>
      <c r="C645" s="30"/>
      <c r="D645" s="11"/>
      <c r="E645" s="5"/>
      <c r="F645" s="6"/>
      <c r="G645" s="6"/>
      <c r="I645" s="31"/>
      <c r="J645" s="8"/>
      <c r="K645" s="9"/>
    </row>
    <row r="646" spans="1:11">
      <c r="A646" s="15"/>
      <c r="B646" s="6"/>
      <c r="C646" s="30"/>
      <c r="D646" s="11"/>
      <c r="E646" s="5"/>
      <c r="F646" s="6"/>
      <c r="G646" s="6"/>
      <c r="I646" s="31"/>
      <c r="J646" s="8"/>
      <c r="K646" s="9"/>
    </row>
    <row r="647" spans="1:11">
      <c r="A647" s="15"/>
      <c r="B647" s="6"/>
      <c r="C647" s="30"/>
      <c r="D647" s="11"/>
      <c r="E647" s="5"/>
      <c r="F647" s="6"/>
      <c r="G647" s="6"/>
      <c r="I647" s="31"/>
      <c r="J647" s="8"/>
      <c r="K647" s="9"/>
    </row>
    <row r="648" spans="1:11">
      <c r="A648" s="15"/>
      <c r="B648" s="6"/>
      <c r="C648" s="30"/>
      <c r="D648" s="11"/>
      <c r="E648" s="5"/>
      <c r="F648" s="6"/>
      <c r="G648" s="6"/>
      <c r="I648" s="31"/>
      <c r="J648" s="8"/>
      <c r="K648" s="9"/>
    </row>
    <row r="649" spans="1:11">
      <c r="A649" s="15"/>
      <c r="B649" s="6"/>
      <c r="C649" s="30"/>
      <c r="D649" s="11"/>
      <c r="E649" s="5"/>
      <c r="F649" s="6"/>
      <c r="G649" s="6"/>
      <c r="I649" s="31"/>
      <c r="J649" s="8"/>
      <c r="K649" s="9"/>
    </row>
    <row r="650" spans="1:11">
      <c r="A650" s="15"/>
      <c r="B650" s="6"/>
      <c r="C650" s="30"/>
      <c r="D650" s="11"/>
      <c r="E650" s="5"/>
      <c r="F650" s="6"/>
      <c r="G650" s="6"/>
      <c r="I650" s="31"/>
      <c r="J650" s="8"/>
      <c r="K650" s="9"/>
    </row>
    <row r="651" spans="1:11">
      <c r="A651" s="15"/>
      <c r="B651" s="6"/>
      <c r="C651" s="30"/>
      <c r="D651" s="11"/>
      <c r="E651" s="5"/>
      <c r="F651" s="6"/>
      <c r="G651" s="6"/>
      <c r="I651" s="31"/>
      <c r="J651" s="8"/>
      <c r="K651" s="9"/>
    </row>
    <row r="652" spans="1:11">
      <c r="A652" s="15"/>
      <c r="B652" s="6"/>
      <c r="C652" s="30"/>
      <c r="D652" s="11"/>
      <c r="E652" s="5"/>
      <c r="F652" s="6"/>
      <c r="G652" s="6"/>
      <c r="I652" s="31"/>
      <c r="J652" s="8"/>
      <c r="K652" s="9"/>
    </row>
    <row r="653" spans="1:11">
      <c r="A653" s="15"/>
      <c r="B653" s="6"/>
      <c r="C653" s="30"/>
      <c r="D653" s="11"/>
      <c r="E653" s="5"/>
      <c r="F653" s="6"/>
      <c r="G653" s="6"/>
      <c r="I653" s="31"/>
      <c r="J653" s="8"/>
      <c r="K653" s="9"/>
    </row>
    <row r="654" spans="1:11">
      <c r="A654" s="15"/>
      <c r="B654" s="6"/>
      <c r="C654" s="30"/>
      <c r="D654" s="11"/>
      <c r="E654" s="5"/>
      <c r="F654" s="6"/>
      <c r="G654" s="6"/>
      <c r="I654" s="31"/>
      <c r="J654" s="8"/>
      <c r="K654" s="9"/>
    </row>
    <row r="655" spans="1:11">
      <c r="A655" s="15"/>
      <c r="B655" s="6"/>
      <c r="C655" s="30"/>
      <c r="D655" s="11"/>
      <c r="E655" s="5"/>
      <c r="F655" s="6"/>
      <c r="G655" s="6"/>
      <c r="I655" s="31"/>
      <c r="J655" s="8"/>
      <c r="K655" s="9"/>
    </row>
    <row r="656" spans="1:11">
      <c r="A656" s="15"/>
      <c r="B656" s="6"/>
      <c r="C656" s="30"/>
      <c r="D656" s="11"/>
      <c r="E656" s="5"/>
      <c r="F656" s="6"/>
      <c r="G656" s="6"/>
      <c r="I656" s="31"/>
      <c r="J656" s="8"/>
      <c r="K656" s="9"/>
    </row>
    <row r="657" spans="1:11">
      <c r="A657" s="15"/>
      <c r="B657" s="6"/>
      <c r="C657" s="30"/>
      <c r="D657" s="11"/>
      <c r="E657" s="5"/>
      <c r="F657" s="6"/>
      <c r="G657" s="6"/>
      <c r="I657" s="31"/>
      <c r="J657" s="8"/>
      <c r="K657" s="9"/>
    </row>
    <row r="658" spans="1:11">
      <c r="A658" s="15"/>
      <c r="B658" s="6"/>
      <c r="C658" s="30"/>
      <c r="D658" s="11"/>
      <c r="E658" s="5"/>
      <c r="F658" s="6"/>
      <c r="G658" s="6"/>
      <c r="I658" s="31"/>
      <c r="J658" s="8"/>
      <c r="K658" s="9"/>
    </row>
    <row r="659" spans="1:11">
      <c r="A659" s="15"/>
      <c r="B659" s="6"/>
      <c r="C659" s="30"/>
      <c r="D659" s="11"/>
      <c r="E659" s="5"/>
      <c r="F659" s="6"/>
      <c r="G659" s="6"/>
      <c r="I659" s="31"/>
      <c r="J659" s="8"/>
      <c r="K659" s="9"/>
    </row>
    <row r="660" spans="1:11">
      <c r="A660" s="15"/>
      <c r="B660" s="6"/>
      <c r="C660" s="30"/>
      <c r="D660" s="11"/>
      <c r="E660" s="5"/>
      <c r="F660" s="6"/>
      <c r="G660" s="6"/>
      <c r="I660" s="31"/>
      <c r="J660" s="8"/>
      <c r="K660" s="9"/>
    </row>
    <row r="661" spans="1:11">
      <c r="A661" s="15"/>
      <c r="B661" s="6"/>
      <c r="C661" s="30"/>
      <c r="D661" s="11"/>
      <c r="E661" s="5"/>
      <c r="F661" s="6"/>
      <c r="G661" s="6"/>
      <c r="I661" s="31"/>
      <c r="J661" s="8"/>
      <c r="K661" s="9"/>
    </row>
    <row r="662" spans="1:11">
      <c r="A662" s="15"/>
      <c r="B662" s="6"/>
      <c r="C662" s="30"/>
      <c r="D662" s="11"/>
      <c r="E662" s="5"/>
      <c r="F662" s="6"/>
      <c r="G662" s="6"/>
      <c r="I662" s="31"/>
      <c r="J662" s="8"/>
      <c r="K662" s="9"/>
    </row>
    <row r="663" spans="1:11">
      <c r="A663" s="15"/>
      <c r="B663" s="6"/>
      <c r="C663" s="30"/>
      <c r="D663" s="11"/>
      <c r="E663" s="5"/>
      <c r="F663" s="6"/>
      <c r="G663" s="6"/>
      <c r="I663" s="31"/>
      <c r="J663" s="8"/>
      <c r="K663" s="9"/>
    </row>
    <row r="664" spans="1:11">
      <c r="A664" s="15"/>
      <c r="B664" s="6"/>
      <c r="C664" s="30"/>
      <c r="D664" s="11"/>
      <c r="E664" s="5"/>
      <c r="F664" s="6"/>
      <c r="G664" s="6"/>
      <c r="I664" s="31"/>
      <c r="J664" s="8"/>
      <c r="K664" s="9"/>
    </row>
    <row r="665" spans="1:11">
      <c r="A665" s="15"/>
      <c r="B665" s="6"/>
      <c r="C665" s="30"/>
      <c r="D665" s="11"/>
      <c r="E665" s="5"/>
      <c r="F665" s="6"/>
      <c r="G665" s="6"/>
      <c r="I665" s="31"/>
      <c r="J665" s="8"/>
      <c r="K665" s="9"/>
    </row>
    <row r="666" spans="1:11">
      <c r="A666" s="15"/>
      <c r="B666" s="6"/>
      <c r="C666" s="30"/>
      <c r="D666" s="11"/>
      <c r="E666" s="5"/>
      <c r="F666" s="6"/>
      <c r="G666" s="6"/>
      <c r="I666" s="31"/>
      <c r="J666" s="8"/>
      <c r="K666" s="9"/>
    </row>
    <row r="667" spans="1:11">
      <c r="A667" s="15"/>
      <c r="B667" s="6"/>
      <c r="C667" s="30"/>
      <c r="D667" s="11"/>
      <c r="E667" s="5"/>
      <c r="F667" s="6"/>
      <c r="G667" s="6"/>
      <c r="I667" s="31"/>
      <c r="J667" s="8"/>
      <c r="K667" s="9"/>
    </row>
    <row r="668" spans="1:11">
      <c r="A668" s="15"/>
      <c r="B668" s="6"/>
      <c r="C668" s="30"/>
      <c r="D668" s="11"/>
      <c r="E668" s="5"/>
      <c r="F668" s="6"/>
      <c r="G668" s="6"/>
      <c r="I668" s="31"/>
      <c r="J668" s="8"/>
      <c r="K668" s="9"/>
    </row>
    <row r="669" spans="1:11">
      <c r="A669" s="15"/>
      <c r="B669" s="6"/>
      <c r="C669" s="30"/>
      <c r="D669" s="11"/>
      <c r="E669" s="5"/>
      <c r="F669" s="6"/>
      <c r="G669" s="6"/>
      <c r="I669" s="31"/>
      <c r="J669" s="8"/>
      <c r="K669" s="9"/>
    </row>
    <row r="670" spans="1:11">
      <c r="A670" s="15"/>
      <c r="B670" s="6"/>
      <c r="C670" s="30"/>
      <c r="D670" s="11"/>
      <c r="E670" s="5"/>
      <c r="F670" s="6"/>
      <c r="G670" s="6"/>
      <c r="I670" s="31"/>
      <c r="J670" s="8"/>
      <c r="K670" s="9"/>
    </row>
    <row r="671" spans="1:11">
      <c r="A671" s="15"/>
      <c r="B671" s="6"/>
      <c r="C671" s="30"/>
      <c r="D671" s="11"/>
      <c r="E671" s="5"/>
      <c r="F671" s="6"/>
      <c r="G671" s="6"/>
      <c r="I671" s="31"/>
      <c r="J671" s="8"/>
      <c r="K671" s="9"/>
    </row>
    <row r="672" spans="1:11">
      <c r="A672" s="15"/>
      <c r="B672" s="6"/>
      <c r="C672" s="30"/>
      <c r="D672" s="11"/>
      <c r="E672" s="5"/>
      <c r="F672" s="6"/>
      <c r="G672" s="6"/>
      <c r="I672" s="31"/>
      <c r="J672" s="8"/>
      <c r="K672" s="9"/>
    </row>
    <row r="673" spans="1:11">
      <c r="A673" s="15"/>
      <c r="B673" s="6"/>
      <c r="C673" s="30"/>
      <c r="D673" s="11"/>
      <c r="E673" s="5"/>
      <c r="F673" s="6"/>
      <c r="G673" s="6"/>
      <c r="I673" s="31"/>
      <c r="J673" s="8"/>
      <c r="K673" s="9"/>
    </row>
    <row r="674" spans="1:11">
      <c r="A674" s="15"/>
      <c r="B674" s="6"/>
      <c r="C674" s="30"/>
      <c r="D674" s="11"/>
      <c r="E674" s="5"/>
      <c r="F674" s="6"/>
      <c r="G674" s="6"/>
      <c r="I674" s="31"/>
      <c r="J674" s="8"/>
      <c r="K674" s="9"/>
    </row>
    <row r="675" spans="1:11">
      <c r="A675" s="15"/>
      <c r="B675" s="6"/>
      <c r="C675" s="30"/>
      <c r="D675" s="11"/>
      <c r="E675" s="5"/>
      <c r="F675" s="6"/>
      <c r="G675" s="6"/>
      <c r="I675" s="31"/>
      <c r="J675" s="8"/>
      <c r="K675" s="9"/>
    </row>
    <row r="676" spans="1:11">
      <c r="A676" s="15"/>
      <c r="B676" s="6"/>
      <c r="C676" s="30"/>
      <c r="D676" s="11"/>
      <c r="E676" s="5"/>
      <c r="F676" s="6"/>
      <c r="G676" s="6"/>
      <c r="I676" s="31"/>
      <c r="J676" s="8"/>
      <c r="K676" s="9"/>
    </row>
    <row r="677" spans="1:11">
      <c r="A677" s="15"/>
      <c r="B677" s="6"/>
      <c r="C677" s="30"/>
      <c r="D677" s="11"/>
      <c r="E677" s="5"/>
      <c r="F677" s="6"/>
      <c r="G677" s="6"/>
      <c r="I677" s="31"/>
      <c r="J677" s="8"/>
      <c r="K677" s="9"/>
    </row>
    <row r="678" spans="1:11">
      <c r="A678" s="15"/>
      <c r="B678" s="6"/>
      <c r="C678" s="30"/>
      <c r="D678" s="11"/>
      <c r="E678" s="5"/>
      <c r="F678" s="6"/>
      <c r="G678" s="6"/>
      <c r="I678" s="31"/>
      <c r="J678" s="8"/>
      <c r="K678" s="9"/>
    </row>
    <row r="679" spans="1:11">
      <c r="A679" s="15"/>
      <c r="B679" s="6"/>
      <c r="C679" s="30"/>
      <c r="D679" s="11"/>
      <c r="E679" s="5"/>
      <c r="F679" s="6"/>
      <c r="G679" s="6"/>
      <c r="I679" s="31"/>
      <c r="J679" s="8"/>
      <c r="K679" s="9"/>
    </row>
    <row r="680" spans="1:11">
      <c r="A680" s="15"/>
      <c r="B680" s="6"/>
      <c r="C680" s="30"/>
      <c r="D680" s="11"/>
      <c r="E680" s="5"/>
      <c r="F680" s="6"/>
      <c r="G680" s="6"/>
      <c r="I680" s="31"/>
      <c r="J680" s="8"/>
      <c r="K680" s="9"/>
    </row>
    <row r="681" spans="1:11">
      <c r="A681" s="15"/>
      <c r="B681" s="6"/>
      <c r="C681" s="30"/>
      <c r="D681" s="11"/>
      <c r="E681" s="5"/>
      <c r="F681" s="6"/>
      <c r="G681" s="6"/>
      <c r="I681" s="31"/>
      <c r="J681" s="8"/>
      <c r="K681" s="9"/>
    </row>
    <row r="682" spans="1:11">
      <c r="A682" s="15"/>
      <c r="B682" s="6"/>
      <c r="C682" s="30"/>
      <c r="D682" s="11"/>
      <c r="E682" s="5"/>
      <c r="F682" s="6"/>
      <c r="G682" s="6"/>
      <c r="I682" s="31"/>
      <c r="J682" s="8"/>
      <c r="K682" s="9"/>
    </row>
    <row r="683" spans="1:11">
      <c r="A683" s="15"/>
      <c r="B683" s="6"/>
      <c r="C683" s="30"/>
      <c r="D683" s="11"/>
      <c r="E683" s="5"/>
      <c r="F683" s="6"/>
      <c r="G683" s="6"/>
      <c r="I683" s="31"/>
      <c r="J683" s="8"/>
      <c r="K683" s="9"/>
    </row>
    <row r="684" spans="1:11">
      <c r="A684" s="15"/>
      <c r="B684" s="6"/>
      <c r="C684" s="30"/>
      <c r="D684" s="11"/>
      <c r="E684" s="5"/>
      <c r="F684" s="6"/>
      <c r="G684" s="6"/>
      <c r="I684" s="31"/>
      <c r="J684" s="8"/>
      <c r="K684" s="9"/>
    </row>
    <row r="685" spans="1:11">
      <c r="A685" s="15"/>
      <c r="B685" s="6"/>
      <c r="C685" s="30"/>
      <c r="D685" s="11"/>
      <c r="E685" s="5"/>
      <c r="F685" s="6"/>
      <c r="G685" s="6"/>
      <c r="I685" s="31"/>
      <c r="J685" s="8"/>
      <c r="K685" s="9"/>
    </row>
    <row r="686" spans="1:11">
      <c r="A686" s="15"/>
      <c r="B686" s="6"/>
      <c r="C686" s="30"/>
      <c r="D686" s="11"/>
      <c r="E686" s="5"/>
      <c r="F686" s="6"/>
      <c r="G686" s="6"/>
      <c r="I686" s="31"/>
      <c r="J686" s="8"/>
      <c r="K686" s="9"/>
    </row>
    <row r="687" spans="1:11">
      <c r="A687" s="15"/>
      <c r="B687" s="6"/>
      <c r="C687" s="30"/>
      <c r="D687" s="11"/>
      <c r="E687" s="5"/>
      <c r="F687" s="6"/>
      <c r="G687" s="6"/>
      <c r="I687" s="31"/>
      <c r="J687" s="8"/>
      <c r="K687" s="9"/>
    </row>
    <row r="688" spans="1:11">
      <c r="A688" s="15"/>
      <c r="B688" s="6"/>
      <c r="C688" s="30"/>
      <c r="D688" s="11"/>
      <c r="E688" s="5"/>
      <c r="F688" s="6"/>
      <c r="G688" s="6"/>
      <c r="I688" s="31"/>
      <c r="J688" s="8"/>
      <c r="K688" s="9"/>
    </row>
    <row r="689" spans="1:11">
      <c r="A689" s="15"/>
      <c r="B689" s="6"/>
      <c r="C689" s="30"/>
      <c r="D689" s="11"/>
      <c r="E689" s="5"/>
      <c r="F689" s="6"/>
      <c r="G689" s="6"/>
      <c r="I689" s="31"/>
      <c r="J689" s="8"/>
      <c r="K689" s="9"/>
    </row>
    <row r="690" spans="1:11">
      <c r="A690" s="15"/>
      <c r="B690" s="6"/>
      <c r="C690" s="30"/>
      <c r="D690" s="11"/>
      <c r="E690" s="5"/>
      <c r="F690" s="6"/>
      <c r="G690" s="6"/>
      <c r="I690" s="31"/>
      <c r="J690" s="8"/>
      <c r="K690" s="9"/>
    </row>
    <row r="691" spans="1:11">
      <c r="A691" s="15"/>
      <c r="B691" s="6"/>
      <c r="C691" s="30"/>
      <c r="D691" s="11"/>
      <c r="E691" s="5"/>
      <c r="F691" s="6"/>
      <c r="G691" s="6"/>
      <c r="I691" s="31"/>
      <c r="J691" s="8"/>
      <c r="K691" s="9"/>
    </row>
    <row r="692" spans="1:11">
      <c r="A692" s="15"/>
      <c r="B692" s="6"/>
      <c r="C692" s="30"/>
      <c r="D692" s="11"/>
      <c r="E692" s="5"/>
      <c r="F692" s="6"/>
      <c r="G692" s="6"/>
      <c r="I692" s="31"/>
      <c r="J692" s="8"/>
      <c r="K692" s="9"/>
    </row>
    <row r="693" spans="1:11">
      <c r="A693" s="15"/>
      <c r="B693" s="6"/>
      <c r="C693" s="30"/>
      <c r="D693" s="11"/>
      <c r="E693" s="5"/>
      <c r="F693" s="6"/>
      <c r="G693" s="6"/>
      <c r="I693" s="31"/>
      <c r="J693" s="8"/>
      <c r="K693" s="9"/>
    </row>
    <row r="694" spans="1:11">
      <c r="A694" s="15"/>
      <c r="B694" s="6"/>
      <c r="C694" s="30"/>
      <c r="D694" s="11"/>
      <c r="E694" s="5"/>
      <c r="F694" s="6"/>
      <c r="G694" s="6"/>
      <c r="I694" s="31"/>
      <c r="J694" s="8"/>
      <c r="K694" s="9"/>
    </row>
    <row r="695" spans="1:11">
      <c r="A695" s="15"/>
      <c r="B695" s="6"/>
      <c r="C695" s="30"/>
      <c r="D695" s="11"/>
      <c r="E695" s="5"/>
      <c r="F695" s="6"/>
      <c r="G695" s="6"/>
      <c r="I695" s="31"/>
      <c r="J695" s="8"/>
      <c r="K695" s="9"/>
    </row>
    <row r="696" spans="1:11">
      <c r="A696" s="15"/>
      <c r="B696" s="6"/>
      <c r="C696" s="30"/>
      <c r="D696" s="11"/>
      <c r="E696" s="5"/>
      <c r="F696" s="6"/>
      <c r="G696" s="6"/>
      <c r="I696" s="31"/>
      <c r="J696" s="8"/>
      <c r="K696" s="9"/>
    </row>
    <row r="697" spans="1:11">
      <c r="A697" s="15"/>
      <c r="B697" s="6"/>
      <c r="C697" s="30"/>
      <c r="D697" s="11"/>
      <c r="E697" s="5"/>
      <c r="F697" s="6"/>
      <c r="G697" s="6"/>
      <c r="I697" s="31"/>
      <c r="J697" s="8"/>
      <c r="K697" s="9"/>
    </row>
    <row r="698" spans="1:11">
      <c r="A698" s="15"/>
      <c r="B698" s="6"/>
      <c r="C698" s="30"/>
      <c r="D698" s="11"/>
      <c r="E698" s="5"/>
      <c r="F698" s="6"/>
      <c r="G698" s="6"/>
      <c r="I698" s="31"/>
      <c r="J698" s="8"/>
      <c r="K698" s="9"/>
    </row>
    <row r="699" spans="1:11">
      <c r="A699" s="15"/>
      <c r="B699" s="6"/>
      <c r="C699" s="30"/>
      <c r="D699" s="11"/>
      <c r="E699" s="5"/>
      <c r="F699" s="6"/>
      <c r="G699" s="6"/>
      <c r="I699" s="31"/>
      <c r="J699" s="8"/>
      <c r="K699" s="9"/>
    </row>
    <row r="700" spans="1:11">
      <c r="A700" s="15"/>
      <c r="B700" s="6"/>
      <c r="C700" s="30"/>
      <c r="D700" s="11"/>
      <c r="E700" s="5"/>
      <c r="F700" s="6"/>
      <c r="G700" s="6"/>
      <c r="I700" s="31"/>
      <c r="J700" s="8"/>
      <c r="K700" s="9"/>
    </row>
    <row r="701" spans="1:11">
      <c r="A701" s="15"/>
      <c r="B701" s="6"/>
      <c r="C701" s="30"/>
      <c r="D701" s="11"/>
      <c r="E701" s="5"/>
      <c r="F701" s="6"/>
      <c r="G701" s="6"/>
      <c r="I701" s="31"/>
      <c r="J701" s="8"/>
      <c r="K701" s="9"/>
    </row>
    <row r="702" spans="1:11">
      <c r="A702" s="15"/>
      <c r="B702" s="6"/>
      <c r="C702" s="30"/>
      <c r="D702" s="11"/>
      <c r="E702" s="5"/>
      <c r="F702" s="6"/>
      <c r="G702" s="6"/>
      <c r="I702" s="31"/>
      <c r="J702" s="8"/>
      <c r="K702" s="9"/>
    </row>
    <row r="703" spans="1:11">
      <c r="A703" s="15"/>
      <c r="B703" s="6"/>
      <c r="C703" s="30"/>
      <c r="D703" s="11"/>
      <c r="E703" s="5"/>
      <c r="F703" s="6"/>
      <c r="G703" s="6"/>
      <c r="I703" s="31"/>
      <c r="J703" s="8"/>
      <c r="K703" s="9"/>
    </row>
    <row r="704" spans="1:11">
      <c r="A704" s="15"/>
      <c r="B704" s="6"/>
      <c r="C704" s="30"/>
      <c r="D704" s="11"/>
      <c r="E704" s="5"/>
      <c r="F704" s="6"/>
      <c r="G704" s="6"/>
      <c r="I704" s="31"/>
      <c r="J704" s="8"/>
      <c r="K704" s="9"/>
    </row>
    <row r="705" spans="1:11">
      <c r="A705" s="15"/>
      <c r="B705" s="6"/>
      <c r="C705" s="30"/>
      <c r="D705" s="11"/>
      <c r="E705" s="5"/>
      <c r="F705" s="6"/>
      <c r="G705" s="6"/>
      <c r="I705" s="31"/>
      <c r="J705" s="8"/>
      <c r="K705" s="9"/>
    </row>
    <row r="706" spans="1:11">
      <c r="A706" s="15"/>
      <c r="B706" s="6"/>
      <c r="C706" s="30"/>
      <c r="D706" s="11"/>
      <c r="E706" s="5"/>
      <c r="F706" s="6"/>
      <c r="G706" s="6"/>
      <c r="I706" s="31"/>
      <c r="J706" s="8"/>
      <c r="K706" s="9"/>
    </row>
    <row r="707" spans="1:11">
      <c r="A707" s="15"/>
      <c r="B707" s="6"/>
      <c r="C707" s="30"/>
      <c r="D707" s="11"/>
      <c r="E707" s="5"/>
      <c r="F707" s="6"/>
      <c r="G707" s="6"/>
      <c r="I707" s="31"/>
      <c r="J707" s="8"/>
      <c r="K707" s="9"/>
    </row>
    <row r="708" spans="1:11">
      <c r="A708" s="15"/>
      <c r="B708" s="6"/>
      <c r="C708" s="30"/>
      <c r="D708" s="11"/>
      <c r="E708" s="5"/>
      <c r="F708" s="6"/>
      <c r="G708" s="6"/>
      <c r="I708" s="31"/>
      <c r="J708" s="8"/>
      <c r="K708" s="9"/>
    </row>
    <row r="709" spans="1:11">
      <c r="A709" s="15"/>
      <c r="B709" s="6"/>
      <c r="C709" s="30"/>
      <c r="D709" s="11"/>
      <c r="E709" s="5"/>
      <c r="F709" s="6"/>
      <c r="G709" s="6"/>
      <c r="I709" s="31"/>
      <c r="J709" s="8"/>
      <c r="K709" s="9"/>
    </row>
    <row r="710" spans="1:11">
      <c r="A710" s="15"/>
      <c r="B710" s="6"/>
      <c r="C710" s="30"/>
      <c r="D710" s="11"/>
      <c r="E710" s="5"/>
      <c r="F710" s="6"/>
      <c r="G710" s="6"/>
      <c r="I710" s="31"/>
      <c r="J710" s="8"/>
      <c r="K710" s="9"/>
    </row>
    <row r="711" spans="1:11">
      <c r="A711" s="15"/>
      <c r="B711" s="6"/>
      <c r="C711" s="30"/>
      <c r="D711" s="11"/>
      <c r="E711" s="5"/>
      <c r="F711" s="6"/>
      <c r="G711" s="6"/>
      <c r="I711" s="31"/>
      <c r="J711" s="8"/>
      <c r="K711" s="9"/>
    </row>
    <row r="712" spans="1:11">
      <c r="A712" s="15"/>
      <c r="B712" s="6"/>
      <c r="C712" s="30"/>
      <c r="D712" s="11"/>
      <c r="E712" s="5"/>
      <c r="F712" s="6"/>
      <c r="G712" s="6"/>
      <c r="I712" s="31"/>
      <c r="J712" s="8"/>
      <c r="K712" s="9"/>
    </row>
    <row r="713" spans="1:11">
      <c r="A713" s="15"/>
      <c r="B713" s="6"/>
      <c r="C713" s="30"/>
      <c r="D713" s="11"/>
      <c r="E713" s="5"/>
      <c r="F713" s="6"/>
      <c r="G713" s="6"/>
      <c r="I713" s="31"/>
      <c r="J713" s="8"/>
      <c r="K713" s="9"/>
    </row>
    <row r="714" spans="1:11">
      <c r="A714" s="15"/>
      <c r="B714" s="6"/>
      <c r="C714" s="30"/>
      <c r="D714" s="11"/>
      <c r="E714" s="5"/>
      <c r="F714" s="6"/>
      <c r="G714" s="6"/>
      <c r="I714" s="31"/>
      <c r="J714" s="8"/>
      <c r="K714" s="9"/>
    </row>
    <row r="715" spans="1:11">
      <c r="A715" s="15"/>
      <c r="B715" s="6"/>
      <c r="C715" s="30"/>
      <c r="D715" s="11"/>
      <c r="E715" s="5"/>
      <c r="F715" s="6"/>
      <c r="G715" s="6"/>
      <c r="I715" s="31"/>
      <c r="J715" s="8"/>
      <c r="K715" s="9"/>
    </row>
    <row r="716" spans="1:11">
      <c r="A716" s="15"/>
      <c r="B716" s="6"/>
      <c r="C716" s="30"/>
      <c r="D716" s="11"/>
      <c r="E716" s="5"/>
      <c r="F716" s="6"/>
      <c r="G716" s="6"/>
      <c r="I716" s="31"/>
      <c r="J716" s="8"/>
      <c r="K716" s="9"/>
    </row>
    <row r="717" spans="1:11">
      <c r="A717" s="15"/>
      <c r="B717" s="6"/>
      <c r="C717" s="30"/>
      <c r="D717" s="11"/>
      <c r="E717" s="5"/>
      <c r="F717" s="6"/>
      <c r="G717" s="6"/>
      <c r="I717" s="31"/>
      <c r="J717" s="8"/>
      <c r="K717" s="9"/>
    </row>
    <row r="718" spans="1:11">
      <c r="A718" s="15"/>
      <c r="B718" s="6"/>
      <c r="C718" s="30"/>
      <c r="D718" s="11"/>
      <c r="E718" s="5"/>
      <c r="F718" s="6"/>
      <c r="G718" s="6"/>
      <c r="I718" s="31"/>
      <c r="J718" s="8"/>
      <c r="K718" s="9"/>
    </row>
    <row r="719" spans="1:11">
      <c r="A719" s="15"/>
      <c r="B719" s="6"/>
      <c r="C719" s="30"/>
      <c r="D719" s="11"/>
      <c r="E719" s="5"/>
      <c r="F719" s="6"/>
      <c r="G719" s="6"/>
      <c r="I719" s="31"/>
      <c r="J719" s="8"/>
      <c r="K719" s="9"/>
    </row>
    <row r="720" spans="1:11">
      <c r="A720" s="15"/>
      <c r="B720" s="6"/>
      <c r="C720" s="30"/>
      <c r="D720" s="11"/>
      <c r="E720" s="5"/>
      <c r="F720" s="6"/>
      <c r="G720" s="6"/>
      <c r="I720" s="31"/>
      <c r="J720" s="8"/>
      <c r="K720" s="9"/>
    </row>
    <row r="721" spans="1:11">
      <c r="A721" s="15"/>
      <c r="B721" s="6"/>
      <c r="C721" s="30"/>
      <c r="D721" s="11"/>
      <c r="E721" s="5"/>
      <c r="F721" s="6"/>
      <c r="G721" s="6"/>
      <c r="I721" s="31"/>
      <c r="J721" s="8"/>
      <c r="K721" s="9"/>
    </row>
    <row r="722" spans="1:11">
      <c r="A722" s="15"/>
      <c r="B722" s="6"/>
      <c r="C722" s="30"/>
      <c r="D722" s="11"/>
      <c r="E722" s="5"/>
      <c r="F722" s="6"/>
      <c r="G722" s="6"/>
      <c r="I722" s="31"/>
      <c r="J722" s="8"/>
      <c r="K722" s="9"/>
    </row>
    <row r="723" spans="1:11">
      <c r="A723" s="15"/>
      <c r="B723" s="6"/>
      <c r="C723" s="30"/>
      <c r="D723" s="11"/>
      <c r="E723" s="5"/>
      <c r="F723" s="6"/>
      <c r="G723" s="6"/>
      <c r="I723" s="31"/>
      <c r="J723" s="8"/>
      <c r="K723" s="9"/>
    </row>
    <row r="724" spans="1:11">
      <c r="A724" s="15"/>
      <c r="B724" s="6"/>
      <c r="C724" s="30"/>
      <c r="D724" s="11"/>
      <c r="E724" s="5"/>
      <c r="F724" s="6"/>
      <c r="G724" s="6"/>
      <c r="I724" s="31"/>
      <c r="J724" s="8"/>
      <c r="K724" s="9"/>
    </row>
    <row r="725" spans="1:11">
      <c r="A725" s="15"/>
      <c r="B725" s="6"/>
      <c r="C725" s="30"/>
      <c r="D725" s="11"/>
      <c r="E725" s="5"/>
      <c r="F725" s="6"/>
      <c r="G725" s="6"/>
      <c r="I725" s="31"/>
      <c r="J725" s="8"/>
      <c r="K725" s="9"/>
    </row>
    <row r="726" spans="1:11">
      <c r="A726" s="15"/>
      <c r="B726" s="6"/>
      <c r="C726" s="30"/>
      <c r="D726" s="11"/>
      <c r="E726" s="5"/>
      <c r="F726" s="6"/>
      <c r="G726" s="6"/>
      <c r="I726" s="31"/>
      <c r="J726" s="8"/>
      <c r="K726" s="9"/>
    </row>
    <row r="727" spans="1:11">
      <c r="A727" s="15"/>
      <c r="B727" s="6"/>
      <c r="C727" s="30"/>
      <c r="D727" s="11"/>
      <c r="E727" s="5"/>
      <c r="F727" s="6"/>
      <c r="G727" s="6"/>
      <c r="I727" s="31"/>
      <c r="J727" s="8"/>
      <c r="K727" s="9"/>
    </row>
    <row r="728" spans="1:11">
      <c r="A728" s="15"/>
      <c r="B728" s="6"/>
      <c r="C728" s="30"/>
      <c r="D728" s="11"/>
      <c r="E728" s="5"/>
      <c r="F728" s="6"/>
      <c r="G728" s="6"/>
      <c r="I728" s="31"/>
      <c r="J728" s="8"/>
      <c r="K728" s="9"/>
    </row>
    <row r="729" spans="1:11">
      <c r="A729" s="15"/>
      <c r="B729" s="6"/>
      <c r="C729" s="30"/>
      <c r="D729" s="11"/>
      <c r="E729" s="5"/>
      <c r="F729" s="6"/>
      <c r="G729" s="6"/>
      <c r="I729" s="31"/>
      <c r="J729" s="8"/>
      <c r="K729" s="9"/>
    </row>
    <row r="730" spans="1:11">
      <c r="A730" s="15"/>
      <c r="B730" s="6"/>
      <c r="C730" s="30"/>
      <c r="D730" s="11"/>
      <c r="E730" s="5"/>
      <c r="F730" s="6"/>
      <c r="G730" s="6"/>
      <c r="I730" s="31"/>
      <c r="J730" s="8"/>
      <c r="K730" s="9"/>
    </row>
    <row r="731" spans="1:11">
      <c r="A731" s="15"/>
      <c r="B731" s="6"/>
      <c r="C731" s="30"/>
      <c r="D731" s="11"/>
      <c r="E731" s="5"/>
      <c r="F731" s="6"/>
      <c r="G731" s="6"/>
      <c r="I731" s="31"/>
      <c r="J731" s="8"/>
      <c r="K731" s="9"/>
    </row>
    <row r="732" spans="1:11">
      <c r="A732" s="15"/>
      <c r="B732" s="6"/>
      <c r="C732" s="30"/>
      <c r="D732" s="11"/>
      <c r="E732" s="5"/>
      <c r="F732" s="6"/>
      <c r="G732" s="6"/>
      <c r="I732" s="31"/>
      <c r="J732" s="8"/>
      <c r="K732" s="9"/>
    </row>
    <row r="733" spans="1:11">
      <c r="A733" s="15"/>
      <c r="B733" s="6"/>
      <c r="C733" s="30"/>
      <c r="D733" s="11"/>
      <c r="E733" s="5"/>
      <c r="F733" s="6"/>
      <c r="G733" s="6"/>
      <c r="I733" s="31"/>
      <c r="J733" s="8"/>
      <c r="K733" s="9"/>
    </row>
    <row r="734" spans="1:11">
      <c r="A734" s="15"/>
      <c r="B734" s="6"/>
      <c r="C734" s="30"/>
      <c r="D734" s="11"/>
      <c r="E734" s="5"/>
      <c r="F734" s="6"/>
      <c r="G734" s="6"/>
      <c r="I734" s="31"/>
      <c r="J734" s="8"/>
      <c r="K734" s="9"/>
    </row>
    <row r="735" spans="1:11">
      <c r="A735" s="15"/>
      <c r="B735" s="6"/>
      <c r="C735" s="30"/>
      <c r="D735" s="11"/>
      <c r="E735" s="5"/>
      <c r="F735" s="6"/>
      <c r="G735" s="6"/>
      <c r="I735" s="31"/>
      <c r="J735" s="8"/>
      <c r="K735" s="9"/>
    </row>
    <row r="736" spans="1:11">
      <c r="A736" s="15"/>
      <c r="B736" s="6"/>
      <c r="C736" s="30"/>
      <c r="D736" s="11"/>
      <c r="E736" s="5"/>
      <c r="F736" s="6"/>
      <c r="G736" s="6"/>
      <c r="I736" s="31"/>
      <c r="J736" s="8"/>
      <c r="K736" s="9"/>
    </row>
    <row r="737" spans="1:11">
      <c r="A737" s="15"/>
      <c r="B737" s="6"/>
      <c r="C737" s="30"/>
      <c r="D737" s="11"/>
      <c r="E737" s="5"/>
      <c r="F737" s="6"/>
      <c r="G737" s="6"/>
      <c r="I737" s="31"/>
      <c r="J737" s="8"/>
      <c r="K737" s="9"/>
    </row>
    <row r="738" spans="1:11">
      <c r="A738" s="15"/>
      <c r="B738" s="6"/>
      <c r="C738" s="30"/>
      <c r="D738" s="11"/>
      <c r="E738" s="5"/>
      <c r="F738" s="6"/>
      <c r="G738" s="6"/>
      <c r="I738" s="31"/>
      <c r="J738" s="8"/>
      <c r="K738" s="9"/>
    </row>
    <row r="739" spans="1:11">
      <c r="A739" s="15"/>
      <c r="B739" s="6"/>
      <c r="C739" s="30"/>
      <c r="D739" s="11"/>
      <c r="E739" s="5"/>
      <c r="F739" s="6"/>
      <c r="G739" s="6"/>
      <c r="I739" s="31"/>
      <c r="J739" s="8"/>
      <c r="K739" s="9"/>
    </row>
    <row r="740" spans="1:11">
      <c r="A740" s="15"/>
      <c r="B740" s="6"/>
      <c r="C740" s="30"/>
      <c r="D740" s="11"/>
      <c r="E740" s="5"/>
      <c r="F740" s="6"/>
      <c r="G740" s="6"/>
      <c r="I740" s="31"/>
      <c r="J740" s="8"/>
      <c r="K740" s="9"/>
    </row>
    <row r="741" spans="1:11">
      <c r="A741" s="15"/>
      <c r="B741" s="6"/>
      <c r="C741" s="30"/>
      <c r="D741" s="11"/>
      <c r="E741" s="5"/>
      <c r="F741" s="6"/>
      <c r="G741" s="6"/>
      <c r="I741" s="31"/>
      <c r="J741" s="8"/>
      <c r="K741" s="9"/>
    </row>
    <row r="742" spans="1:11">
      <c r="A742" s="15"/>
      <c r="B742" s="6"/>
      <c r="C742" s="30"/>
      <c r="D742" s="11"/>
      <c r="E742" s="5"/>
      <c r="F742" s="6"/>
      <c r="G742" s="6"/>
      <c r="I742" s="31"/>
      <c r="J742" s="8"/>
      <c r="K742" s="9"/>
    </row>
    <row r="743" spans="1:11">
      <c r="A743" s="15"/>
      <c r="B743" s="6"/>
      <c r="C743" s="30"/>
      <c r="D743" s="11"/>
      <c r="E743" s="5"/>
      <c r="F743" s="6"/>
      <c r="G743" s="6"/>
      <c r="I743" s="31"/>
      <c r="J743" s="8"/>
      <c r="K743" s="9"/>
    </row>
    <row r="744" spans="1:11">
      <c r="A744" s="15"/>
      <c r="B744" s="6"/>
      <c r="C744" s="30"/>
      <c r="D744" s="11"/>
      <c r="E744" s="5"/>
      <c r="F744" s="6"/>
      <c r="G744" s="6"/>
      <c r="I744" s="31"/>
      <c r="J744" s="8"/>
      <c r="K744" s="9"/>
    </row>
    <row r="745" spans="1:11">
      <c r="A745" s="15"/>
      <c r="B745" s="6"/>
      <c r="C745" s="30"/>
      <c r="D745" s="11"/>
      <c r="E745" s="5"/>
      <c r="F745" s="6"/>
      <c r="G745" s="6"/>
      <c r="I745" s="31"/>
      <c r="J745" s="8"/>
      <c r="K745" s="9"/>
    </row>
    <row r="746" spans="1:11">
      <c r="A746" s="15"/>
      <c r="B746" s="6"/>
      <c r="C746" s="30"/>
      <c r="D746" s="11"/>
      <c r="E746" s="5"/>
      <c r="F746" s="6"/>
      <c r="G746" s="6"/>
      <c r="I746" s="31"/>
      <c r="J746" s="8"/>
      <c r="K746" s="9"/>
    </row>
    <row r="747" spans="1:11">
      <c r="A747" s="15"/>
      <c r="B747" s="6"/>
      <c r="C747" s="30"/>
      <c r="D747" s="11"/>
      <c r="E747" s="5"/>
      <c r="F747" s="6"/>
      <c r="G747" s="6"/>
      <c r="I747" s="31"/>
      <c r="J747" s="8"/>
      <c r="K747" s="9"/>
    </row>
    <row r="748" spans="1:11">
      <c r="A748" s="15"/>
      <c r="B748" s="6"/>
      <c r="C748" s="30"/>
      <c r="D748" s="11"/>
      <c r="E748" s="5"/>
      <c r="F748" s="6"/>
      <c r="G748" s="6"/>
      <c r="I748" s="31"/>
      <c r="J748" s="8"/>
      <c r="K748" s="9"/>
    </row>
    <row r="749" spans="1:11">
      <c r="A749" s="15"/>
      <c r="B749" s="6"/>
      <c r="C749" s="30"/>
      <c r="D749" s="11"/>
      <c r="E749" s="5"/>
      <c r="F749" s="6"/>
      <c r="G749" s="6"/>
      <c r="I749" s="31"/>
      <c r="J749" s="8"/>
      <c r="K749" s="9"/>
    </row>
    <row r="750" spans="1:11">
      <c r="A750" s="15"/>
      <c r="B750" s="6"/>
      <c r="C750" s="30"/>
      <c r="D750" s="11"/>
      <c r="E750" s="5"/>
      <c r="F750" s="6"/>
      <c r="G750" s="6"/>
      <c r="I750" s="31"/>
      <c r="J750" s="8"/>
      <c r="K750" s="9"/>
    </row>
    <row r="751" spans="1:11">
      <c r="A751" s="15"/>
      <c r="B751" s="6"/>
      <c r="C751" s="30"/>
      <c r="D751" s="11"/>
      <c r="E751" s="5"/>
      <c r="F751" s="6"/>
      <c r="G751" s="6"/>
      <c r="I751" s="31"/>
      <c r="J751" s="8"/>
      <c r="K751" s="9"/>
    </row>
    <row r="752" spans="1:11">
      <c r="A752" s="15"/>
      <c r="B752" s="6"/>
      <c r="C752" s="30"/>
      <c r="D752" s="11"/>
      <c r="E752" s="5"/>
      <c r="F752" s="6"/>
      <c r="G752" s="6"/>
      <c r="I752" s="31"/>
      <c r="J752" s="8"/>
      <c r="K752" s="9"/>
    </row>
    <row r="753" spans="1:11">
      <c r="A753" s="15"/>
      <c r="B753" s="6"/>
      <c r="C753" s="30"/>
      <c r="D753" s="11"/>
      <c r="E753" s="5"/>
      <c r="F753" s="6"/>
      <c r="G753" s="6"/>
      <c r="I753" s="31"/>
      <c r="J753" s="8"/>
      <c r="K753" s="9"/>
    </row>
    <row r="754" spans="1:11">
      <c r="A754" s="15"/>
      <c r="B754" s="6"/>
      <c r="C754" s="30"/>
      <c r="D754" s="11"/>
      <c r="E754" s="5"/>
      <c r="F754" s="6"/>
      <c r="G754" s="6"/>
      <c r="I754" s="31"/>
      <c r="J754" s="8"/>
      <c r="K754" s="9"/>
    </row>
    <row r="755" spans="1:11">
      <c r="A755" s="15"/>
      <c r="B755" s="6"/>
      <c r="C755" s="30"/>
      <c r="D755" s="11"/>
      <c r="E755" s="5"/>
      <c r="F755" s="6"/>
      <c r="G755" s="6"/>
      <c r="I755" s="31"/>
      <c r="J755" s="8"/>
      <c r="K755" s="9"/>
    </row>
    <row r="756" spans="1:11">
      <c r="A756" s="15"/>
      <c r="B756" s="6"/>
      <c r="C756" s="30"/>
      <c r="D756" s="11"/>
      <c r="E756" s="5"/>
      <c r="F756" s="6"/>
      <c r="G756" s="6"/>
      <c r="I756" s="31"/>
      <c r="J756" s="8"/>
      <c r="K756" s="9"/>
    </row>
    <row r="757" spans="1:11">
      <c r="A757" s="15"/>
      <c r="B757" s="6"/>
      <c r="C757" s="30"/>
      <c r="D757" s="11"/>
      <c r="E757" s="5"/>
      <c r="F757" s="6"/>
      <c r="G757" s="6"/>
      <c r="I757" s="31"/>
      <c r="J757" s="8"/>
      <c r="K757" s="9"/>
    </row>
    <row r="758" spans="1:11">
      <c r="A758" s="15"/>
      <c r="B758" s="6"/>
      <c r="C758" s="30"/>
      <c r="D758" s="11"/>
      <c r="E758" s="5"/>
      <c r="F758" s="6"/>
      <c r="G758" s="6"/>
      <c r="I758" s="31"/>
      <c r="J758" s="8"/>
      <c r="K758" s="9"/>
    </row>
    <row r="759" spans="1:11">
      <c r="A759" s="15"/>
      <c r="B759" s="6"/>
      <c r="C759" s="30"/>
      <c r="D759" s="11"/>
      <c r="E759" s="5"/>
      <c r="F759" s="6"/>
      <c r="G759" s="6"/>
      <c r="I759" s="31"/>
      <c r="J759" s="8"/>
      <c r="K759" s="9"/>
    </row>
    <row r="760" spans="1:11">
      <c r="A760" s="15"/>
      <c r="B760" s="6"/>
      <c r="C760" s="30"/>
      <c r="D760" s="11"/>
      <c r="E760" s="5"/>
      <c r="F760" s="6"/>
      <c r="G760" s="6"/>
      <c r="I760" s="31"/>
      <c r="J760" s="8"/>
      <c r="K760" s="9"/>
    </row>
    <row r="761" spans="1:11">
      <c r="A761" s="15"/>
      <c r="B761" s="6"/>
      <c r="C761" s="30"/>
      <c r="D761" s="11"/>
      <c r="E761" s="5"/>
      <c r="F761" s="6"/>
      <c r="G761" s="6"/>
      <c r="I761" s="31"/>
      <c r="J761" s="8"/>
      <c r="K761" s="9"/>
    </row>
    <row r="762" spans="1:11">
      <c r="A762" s="15"/>
      <c r="B762" s="6"/>
      <c r="C762" s="30"/>
      <c r="D762" s="11"/>
      <c r="E762" s="5"/>
      <c r="F762" s="6"/>
      <c r="G762" s="6"/>
      <c r="I762" s="31"/>
      <c r="J762" s="8"/>
      <c r="K762" s="9"/>
    </row>
    <row r="763" spans="1:11">
      <c r="A763" s="15"/>
      <c r="B763" s="6"/>
      <c r="C763" s="30"/>
      <c r="D763" s="11"/>
      <c r="E763" s="5"/>
      <c r="F763" s="6"/>
      <c r="G763" s="6"/>
      <c r="I763" s="31"/>
      <c r="J763" s="8"/>
      <c r="K763" s="9"/>
    </row>
    <row r="764" spans="1:11">
      <c r="A764" s="15"/>
      <c r="B764" s="6"/>
      <c r="C764" s="30"/>
      <c r="D764" s="11"/>
      <c r="E764" s="5"/>
      <c r="F764" s="6"/>
      <c r="G764" s="6"/>
      <c r="I764" s="31"/>
      <c r="J764" s="8"/>
      <c r="K764" s="9"/>
    </row>
    <row r="765" spans="1:11">
      <c r="A765" s="15"/>
      <c r="B765" s="6"/>
      <c r="C765" s="30"/>
      <c r="D765" s="11"/>
      <c r="E765" s="5"/>
      <c r="F765" s="6"/>
      <c r="G765" s="6"/>
      <c r="I765" s="31"/>
      <c r="J765" s="8"/>
      <c r="K765" s="9"/>
    </row>
    <row r="766" spans="1:11">
      <c r="A766" s="15"/>
      <c r="B766" s="6"/>
      <c r="C766" s="30"/>
      <c r="D766" s="11"/>
      <c r="E766" s="5"/>
      <c r="F766" s="6"/>
      <c r="G766" s="6"/>
      <c r="I766" s="31"/>
      <c r="J766" s="8"/>
      <c r="K766" s="9"/>
    </row>
    <row r="767" spans="1:11">
      <c r="A767" s="15"/>
      <c r="B767" s="6"/>
      <c r="C767" s="30"/>
      <c r="D767" s="11"/>
      <c r="E767" s="5"/>
      <c r="F767" s="6"/>
      <c r="G767" s="6"/>
      <c r="I767" s="31"/>
      <c r="J767" s="8"/>
      <c r="K767" s="9"/>
    </row>
    <row r="768" spans="1:11">
      <c r="A768" s="15"/>
      <c r="B768" s="6"/>
      <c r="C768" s="30"/>
      <c r="D768" s="11"/>
      <c r="E768" s="5"/>
      <c r="F768" s="6"/>
      <c r="G768" s="6"/>
      <c r="I768" s="31"/>
      <c r="J768" s="8"/>
      <c r="K768" s="9"/>
    </row>
    <row r="769" spans="1:11">
      <c r="A769" s="15"/>
      <c r="B769" s="6"/>
      <c r="C769" s="30"/>
      <c r="D769" s="11"/>
      <c r="E769" s="5"/>
      <c r="F769" s="6"/>
      <c r="G769" s="6"/>
      <c r="I769" s="31"/>
      <c r="J769" s="8"/>
      <c r="K769" s="9"/>
    </row>
    <row r="770" spans="1:11">
      <c r="A770" s="15"/>
      <c r="B770" s="6"/>
      <c r="C770" s="30"/>
      <c r="D770" s="11"/>
      <c r="E770" s="5"/>
      <c r="F770" s="6"/>
      <c r="G770" s="6"/>
      <c r="I770" s="31"/>
      <c r="J770" s="8"/>
      <c r="K770" s="9"/>
    </row>
    <row r="771" spans="1:11">
      <c r="A771" s="15"/>
      <c r="B771" s="6"/>
      <c r="C771" s="30"/>
      <c r="D771" s="11"/>
      <c r="E771" s="5"/>
      <c r="F771" s="6"/>
      <c r="G771" s="6"/>
      <c r="I771" s="31"/>
      <c r="J771" s="8"/>
      <c r="K771" s="9"/>
    </row>
    <row r="772" spans="1:11">
      <c r="A772" s="15"/>
      <c r="B772" s="6"/>
      <c r="C772" s="30"/>
      <c r="D772" s="11"/>
      <c r="E772" s="5"/>
      <c r="F772" s="6"/>
      <c r="G772" s="6"/>
      <c r="I772" s="31"/>
      <c r="J772" s="8"/>
      <c r="K772" s="9"/>
    </row>
    <row r="773" spans="1:11">
      <c r="A773" s="15"/>
      <c r="B773" s="6"/>
      <c r="C773" s="30"/>
      <c r="D773" s="11"/>
      <c r="E773" s="5"/>
      <c r="F773" s="6"/>
      <c r="G773" s="6"/>
      <c r="I773" s="31"/>
      <c r="J773" s="8"/>
      <c r="K773" s="9"/>
    </row>
    <row r="774" spans="1:11">
      <c r="A774" s="15"/>
      <c r="B774" s="6"/>
      <c r="C774" s="30"/>
      <c r="D774" s="11"/>
      <c r="E774" s="5"/>
      <c r="F774" s="6"/>
      <c r="G774" s="6"/>
      <c r="I774" s="31"/>
      <c r="J774" s="8"/>
      <c r="K774" s="9"/>
    </row>
    <row r="775" spans="1:11">
      <c r="A775" s="15"/>
      <c r="B775" s="6"/>
      <c r="C775" s="30"/>
      <c r="D775" s="11"/>
      <c r="E775" s="5"/>
      <c r="F775" s="6"/>
      <c r="G775" s="6"/>
      <c r="I775" s="31"/>
      <c r="J775" s="8"/>
      <c r="K775" s="9"/>
    </row>
    <row r="776" spans="1:11">
      <c r="A776" s="15"/>
      <c r="B776" s="6"/>
      <c r="C776" s="30"/>
      <c r="D776" s="11"/>
      <c r="E776" s="5"/>
      <c r="F776" s="6"/>
      <c r="G776" s="6"/>
      <c r="I776" s="31"/>
      <c r="J776" s="8"/>
      <c r="K776" s="9"/>
    </row>
    <row r="777" spans="1:11">
      <c r="A777" s="15"/>
      <c r="B777" s="6"/>
      <c r="C777" s="30"/>
      <c r="D777" s="11"/>
      <c r="E777" s="5"/>
      <c r="F777" s="6"/>
      <c r="G777" s="6"/>
      <c r="I777" s="31"/>
      <c r="J777" s="8"/>
      <c r="K777" s="9"/>
    </row>
    <row r="778" spans="1:11">
      <c r="A778" s="15"/>
      <c r="B778" s="6"/>
      <c r="C778" s="30"/>
      <c r="D778" s="11"/>
      <c r="E778" s="5"/>
      <c r="F778" s="6"/>
      <c r="G778" s="6"/>
      <c r="I778" s="31"/>
      <c r="J778" s="8"/>
      <c r="K778" s="9"/>
    </row>
    <row r="779" spans="1:11">
      <c r="A779" s="15"/>
      <c r="B779" s="6"/>
      <c r="C779" s="30"/>
      <c r="D779" s="11"/>
      <c r="E779" s="5"/>
      <c r="F779" s="6"/>
      <c r="G779" s="6"/>
      <c r="I779" s="31"/>
      <c r="J779" s="8"/>
      <c r="K779" s="9"/>
    </row>
    <row r="780" spans="1:11">
      <c r="A780" s="15"/>
      <c r="B780" s="6"/>
      <c r="C780" s="30"/>
      <c r="D780" s="11"/>
      <c r="E780" s="5"/>
      <c r="F780" s="6"/>
      <c r="G780" s="6"/>
      <c r="I780" s="31"/>
      <c r="J780" s="8"/>
      <c r="K780" s="9"/>
    </row>
    <row r="781" spans="1:11">
      <c r="A781" s="15"/>
      <c r="B781" s="6"/>
      <c r="C781" s="30"/>
      <c r="D781" s="11"/>
      <c r="E781" s="5"/>
      <c r="F781" s="6"/>
      <c r="G781" s="6"/>
      <c r="I781" s="31"/>
      <c r="J781" s="8"/>
      <c r="K781" s="9"/>
    </row>
    <row r="782" spans="1:11">
      <c r="A782" s="15"/>
      <c r="B782" s="6"/>
      <c r="C782" s="30"/>
      <c r="D782" s="11"/>
      <c r="E782" s="5"/>
      <c r="F782" s="6"/>
      <c r="G782" s="6"/>
      <c r="I782" s="31"/>
      <c r="J782" s="8"/>
      <c r="K782" s="9"/>
    </row>
    <row r="783" spans="1:11">
      <c r="A783" s="15"/>
      <c r="B783" s="6"/>
      <c r="C783" s="30"/>
      <c r="D783" s="11"/>
      <c r="E783" s="5"/>
      <c r="F783" s="6"/>
      <c r="G783" s="6"/>
      <c r="I783" s="31"/>
      <c r="J783" s="8"/>
      <c r="K783" s="9"/>
    </row>
    <row r="784" spans="1:11">
      <c r="A784" s="15"/>
      <c r="B784" s="6"/>
      <c r="C784" s="30"/>
      <c r="D784" s="11"/>
      <c r="E784" s="5"/>
      <c r="F784" s="6"/>
      <c r="G784" s="6"/>
      <c r="I784" s="31"/>
      <c r="J784" s="8"/>
      <c r="K784" s="9"/>
    </row>
    <row r="785" spans="1:11">
      <c r="A785" s="15"/>
      <c r="B785" s="6"/>
      <c r="C785" s="30"/>
      <c r="D785" s="11"/>
      <c r="E785" s="5"/>
      <c r="F785" s="6"/>
      <c r="G785" s="6"/>
      <c r="I785" s="31"/>
      <c r="J785" s="8"/>
      <c r="K785" s="9"/>
    </row>
    <row r="786" spans="1:11">
      <c r="A786" s="15"/>
      <c r="B786" s="6"/>
      <c r="C786" s="30"/>
      <c r="D786" s="11"/>
      <c r="E786" s="5"/>
      <c r="F786" s="6"/>
      <c r="G786" s="6"/>
      <c r="I786" s="31"/>
      <c r="J786" s="8"/>
      <c r="K786" s="9"/>
    </row>
    <row r="787" spans="1:11">
      <c r="A787" s="15"/>
      <c r="B787" s="6"/>
      <c r="C787" s="30"/>
      <c r="D787" s="11"/>
      <c r="E787" s="5"/>
      <c r="F787" s="6"/>
      <c r="G787" s="6"/>
      <c r="I787" s="31"/>
      <c r="J787" s="8"/>
      <c r="K787" s="9"/>
    </row>
    <row r="788" spans="1:11">
      <c r="A788" s="15"/>
      <c r="B788" s="6"/>
      <c r="C788" s="30"/>
      <c r="D788" s="11"/>
      <c r="E788" s="5"/>
      <c r="F788" s="6"/>
      <c r="G788" s="6"/>
      <c r="I788" s="31"/>
      <c r="J788" s="8"/>
      <c r="K788" s="9"/>
    </row>
    <row r="789" spans="1:11">
      <c r="A789" s="15"/>
      <c r="B789" s="6"/>
      <c r="C789" s="30"/>
      <c r="D789" s="11"/>
      <c r="E789" s="5"/>
      <c r="F789" s="6"/>
      <c r="G789" s="6"/>
      <c r="I789" s="31"/>
      <c r="J789" s="8"/>
      <c r="K789" s="9"/>
    </row>
    <row r="790" spans="1:11">
      <c r="A790" s="15"/>
      <c r="B790" s="6"/>
      <c r="C790" s="30"/>
      <c r="D790" s="11"/>
      <c r="E790" s="5"/>
      <c r="F790" s="6"/>
      <c r="G790" s="6"/>
      <c r="I790" s="31"/>
      <c r="J790" s="8"/>
      <c r="K790" s="9"/>
    </row>
    <row r="791" spans="1:11">
      <c r="A791" s="15"/>
      <c r="B791" s="6"/>
      <c r="C791" s="30"/>
      <c r="D791" s="11"/>
      <c r="E791" s="5"/>
      <c r="F791" s="6"/>
      <c r="G791" s="6"/>
      <c r="I791" s="31"/>
      <c r="J791" s="8"/>
      <c r="K791" s="9"/>
    </row>
    <row r="792" spans="1:11">
      <c r="A792" s="15"/>
      <c r="B792" s="6"/>
      <c r="C792" s="30"/>
      <c r="D792" s="11"/>
      <c r="E792" s="5"/>
      <c r="F792" s="6"/>
      <c r="G792" s="6"/>
      <c r="I792" s="31"/>
      <c r="J792" s="8"/>
      <c r="K792" s="9"/>
    </row>
    <row r="793" spans="1:11">
      <c r="A793" s="15"/>
      <c r="B793" s="6"/>
      <c r="C793" s="30"/>
      <c r="D793" s="11"/>
      <c r="E793" s="5"/>
      <c r="F793" s="6"/>
      <c r="G793" s="6"/>
      <c r="I793" s="31"/>
      <c r="J793" s="8"/>
      <c r="K793" s="9"/>
    </row>
    <row r="794" spans="1:11">
      <c r="A794" s="15"/>
      <c r="B794" s="6"/>
      <c r="C794" s="30"/>
      <c r="D794" s="11"/>
      <c r="E794" s="5"/>
      <c r="F794" s="6"/>
      <c r="G794" s="6"/>
      <c r="I794" s="31"/>
      <c r="J794" s="8"/>
      <c r="K794" s="9"/>
    </row>
    <row r="795" spans="1:11">
      <c r="A795" s="15"/>
      <c r="B795" s="6"/>
      <c r="C795" s="30"/>
      <c r="D795" s="11"/>
      <c r="E795" s="5"/>
      <c r="F795" s="6"/>
      <c r="G795" s="6"/>
      <c r="I795" s="31"/>
      <c r="J795" s="8"/>
      <c r="K795" s="9"/>
    </row>
    <row r="796" spans="1:11">
      <c r="A796" s="15"/>
      <c r="B796" s="6"/>
      <c r="C796" s="30"/>
      <c r="D796" s="11"/>
      <c r="E796" s="5"/>
      <c r="F796" s="6"/>
      <c r="G796" s="6"/>
      <c r="I796" s="31"/>
      <c r="J796" s="8"/>
      <c r="K796" s="9"/>
    </row>
    <row r="797" spans="1:11">
      <c r="A797" s="15"/>
      <c r="B797" s="6"/>
      <c r="C797" s="30"/>
      <c r="D797" s="11"/>
      <c r="E797" s="5"/>
      <c r="F797" s="6"/>
      <c r="G797" s="6"/>
      <c r="I797" s="31"/>
      <c r="J797" s="8"/>
      <c r="K797" s="9"/>
    </row>
    <row r="798" spans="1:11">
      <c r="A798" s="15"/>
      <c r="B798" s="6"/>
      <c r="C798" s="30"/>
      <c r="D798" s="11"/>
      <c r="E798" s="5"/>
      <c r="F798" s="6"/>
      <c r="G798" s="6"/>
      <c r="I798" s="31"/>
      <c r="J798" s="8"/>
      <c r="K798" s="9"/>
    </row>
    <row r="799" spans="1:11">
      <c r="A799" s="15"/>
      <c r="B799" s="6"/>
      <c r="C799" s="30"/>
      <c r="D799" s="11"/>
      <c r="E799" s="5"/>
      <c r="F799" s="6"/>
      <c r="G799" s="6"/>
      <c r="I799" s="31"/>
      <c r="J799" s="8"/>
      <c r="K799" s="9"/>
    </row>
    <row r="800" spans="1:11">
      <c r="A800" s="15"/>
      <c r="B800" s="6"/>
      <c r="C800" s="30"/>
      <c r="D800" s="11"/>
      <c r="E800" s="5"/>
      <c r="F800" s="6"/>
      <c r="G800" s="6"/>
      <c r="I800" s="31"/>
      <c r="J800" s="8"/>
      <c r="K800" s="9"/>
    </row>
    <row r="801" spans="1:11">
      <c r="A801" s="15"/>
      <c r="B801" s="6"/>
      <c r="C801" s="30"/>
      <c r="D801" s="11"/>
      <c r="E801" s="5"/>
      <c r="F801" s="6"/>
      <c r="G801" s="6"/>
      <c r="I801" s="31"/>
      <c r="J801" s="8"/>
      <c r="K801" s="9"/>
    </row>
    <row r="802" spans="1:11">
      <c r="A802" s="15"/>
      <c r="B802" s="6"/>
      <c r="C802" s="30"/>
      <c r="D802" s="11"/>
      <c r="E802" s="5"/>
      <c r="F802" s="6"/>
      <c r="G802" s="6"/>
      <c r="I802" s="31"/>
      <c r="J802" s="8"/>
      <c r="K802" s="9"/>
    </row>
    <row r="803" spans="1:11">
      <c r="A803" s="15"/>
      <c r="B803" s="6"/>
      <c r="C803" s="30"/>
      <c r="D803" s="11"/>
      <c r="E803" s="5"/>
      <c r="F803" s="6"/>
      <c r="G803" s="6"/>
      <c r="I803" s="31"/>
      <c r="J803" s="8"/>
      <c r="K803" s="9"/>
    </row>
    <row r="804" spans="1:11">
      <c r="A804" s="15"/>
      <c r="B804" s="6"/>
      <c r="C804" s="30"/>
      <c r="D804" s="11"/>
      <c r="E804" s="5"/>
      <c r="F804" s="6"/>
      <c r="G804" s="6"/>
      <c r="I804" s="31"/>
      <c r="J804" s="8"/>
      <c r="K804" s="9"/>
    </row>
    <row r="805" spans="1:11">
      <c r="A805" s="15"/>
      <c r="B805" s="6"/>
      <c r="C805" s="30"/>
      <c r="D805" s="11"/>
      <c r="E805" s="5"/>
      <c r="F805" s="6"/>
      <c r="G805" s="6"/>
      <c r="I805" s="31"/>
      <c r="J805" s="8"/>
      <c r="K805" s="9"/>
    </row>
    <row r="806" spans="1:11">
      <c r="A806" s="15"/>
      <c r="B806" s="6"/>
      <c r="C806" s="30"/>
      <c r="D806" s="11"/>
      <c r="E806" s="5"/>
      <c r="F806" s="6"/>
      <c r="G806" s="6"/>
      <c r="I806" s="31"/>
      <c r="J806" s="8"/>
      <c r="K806" s="9"/>
    </row>
    <row r="807" spans="1:11">
      <c r="A807" s="15"/>
      <c r="B807" s="6"/>
      <c r="C807" s="30"/>
      <c r="D807" s="11"/>
      <c r="E807" s="5"/>
      <c r="F807" s="6"/>
      <c r="G807" s="6"/>
      <c r="I807" s="31"/>
      <c r="J807" s="8"/>
      <c r="K807" s="9"/>
    </row>
    <row r="808" spans="1:11">
      <c r="A808" s="15"/>
      <c r="B808" s="6"/>
      <c r="C808" s="30"/>
      <c r="D808" s="11"/>
      <c r="E808" s="5"/>
      <c r="F808" s="6"/>
      <c r="G808" s="6"/>
      <c r="I808" s="31"/>
      <c r="J808" s="8"/>
      <c r="K808" s="9"/>
    </row>
    <row r="809" spans="1:11">
      <c r="A809" s="15"/>
      <c r="B809" s="6"/>
      <c r="C809" s="30"/>
      <c r="D809" s="11"/>
      <c r="E809" s="5"/>
      <c r="F809" s="6"/>
      <c r="G809" s="6"/>
      <c r="I809" s="31"/>
      <c r="J809" s="8"/>
      <c r="K809" s="9"/>
    </row>
    <row r="810" spans="1:11">
      <c r="A810" s="15"/>
      <c r="B810" s="6"/>
      <c r="C810" s="30"/>
      <c r="D810" s="11"/>
      <c r="E810" s="5"/>
      <c r="F810" s="6"/>
      <c r="G810" s="6"/>
      <c r="I810" s="31"/>
      <c r="J810" s="8"/>
      <c r="K810" s="9"/>
    </row>
    <row r="811" spans="1:11">
      <c r="A811" s="15"/>
      <c r="B811" s="6"/>
      <c r="C811" s="30"/>
      <c r="D811" s="11"/>
      <c r="E811" s="5"/>
      <c r="F811" s="6"/>
      <c r="G811" s="6"/>
      <c r="I811" s="31"/>
      <c r="J811" s="8"/>
      <c r="K811" s="9"/>
    </row>
    <row r="812" spans="1:11">
      <c r="A812" s="15"/>
      <c r="B812" s="6"/>
      <c r="C812" s="30"/>
      <c r="D812" s="11"/>
      <c r="E812" s="5"/>
      <c r="F812" s="6"/>
      <c r="G812" s="6"/>
      <c r="I812" s="31"/>
      <c r="J812" s="8"/>
      <c r="K812" s="9"/>
    </row>
    <row r="813" spans="1:11">
      <c r="A813" s="15"/>
      <c r="B813" s="6"/>
      <c r="C813" s="30"/>
      <c r="D813" s="11"/>
      <c r="E813" s="5"/>
      <c r="F813" s="6"/>
      <c r="G813" s="6"/>
      <c r="I813" s="31"/>
      <c r="J813" s="8"/>
      <c r="K813" s="9"/>
    </row>
    <row r="814" spans="1:11">
      <c r="A814" s="15"/>
      <c r="B814" s="6"/>
      <c r="C814" s="30"/>
      <c r="D814" s="11"/>
      <c r="E814" s="5"/>
      <c r="F814" s="6"/>
      <c r="G814" s="6"/>
      <c r="I814" s="31"/>
      <c r="J814" s="8"/>
      <c r="K814" s="9"/>
    </row>
    <row r="815" spans="1:11">
      <c r="A815" s="15"/>
      <c r="B815" s="6"/>
      <c r="C815" s="30"/>
      <c r="D815" s="11"/>
      <c r="E815" s="5"/>
      <c r="F815" s="6"/>
      <c r="G815" s="6"/>
      <c r="I815" s="31"/>
      <c r="J815" s="8"/>
      <c r="K815" s="9"/>
    </row>
    <row r="816" spans="1:11">
      <c r="A816" s="15"/>
      <c r="B816" s="6"/>
      <c r="C816" s="30"/>
      <c r="D816" s="11"/>
      <c r="E816" s="5"/>
      <c r="F816" s="6"/>
      <c r="G816" s="6"/>
      <c r="I816" s="31"/>
      <c r="J816" s="8"/>
      <c r="K816" s="9"/>
    </row>
    <row r="817" spans="1:11">
      <c r="A817" s="15"/>
      <c r="B817" s="6"/>
      <c r="C817" s="30"/>
      <c r="D817" s="11"/>
      <c r="E817" s="5"/>
      <c r="F817" s="6"/>
      <c r="G817" s="6"/>
      <c r="I817" s="31"/>
      <c r="J817" s="8"/>
      <c r="K817" s="9"/>
    </row>
    <row r="818" spans="1:11">
      <c r="A818" s="15"/>
      <c r="B818" s="6"/>
      <c r="C818" s="30"/>
      <c r="D818" s="11"/>
      <c r="E818" s="5"/>
      <c r="F818" s="6"/>
      <c r="G818" s="6"/>
      <c r="I818" s="31"/>
      <c r="J818" s="8"/>
      <c r="K818" s="9"/>
    </row>
    <row r="819" spans="1:11">
      <c r="A819" s="15"/>
      <c r="B819" s="6"/>
      <c r="C819" s="30"/>
      <c r="D819" s="11"/>
      <c r="E819" s="5"/>
      <c r="F819" s="6"/>
      <c r="G819" s="6"/>
      <c r="I819" s="31"/>
      <c r="J819" s="8"/>
      <c r="K819" s="9"/>
    </row>
    <row r="820" spans="1:11">
      <c r="A820" s="15"/>
      <c r="B820" s="6"/>
      <c r="C820" s="30"/>
      <c r="D820" s="11"/>
      <c r="E820" s="5"/>
      <c r="F820" s="6"/>
      <c r="G820" s="6"/>
      <c r="I820" s="31"/>
      <c r="J820" s="8"/>
      <c r="K820" s="9"/>
    </row>
    <row r="821" spans="1:11">
      <c r="A821" s="15"/>
      <c r="B821" s="6"/>
      <c r="C821" s="30"/>
      <c r="D821" s="11"/>
      <c r="E821" s="5"/>
      <c r="F821" s="6"/>
      <c r="G821" s="6"/>
      <c r="I821" s="31"/>
      <c r="J821" s="8"/>
      <c r="K821" s="9"/>
    </row>
    <row r="822" spans="1:11">
      <c r="A822" s="15"/>
      <c r="B822" s="6"/>
      <c r="C822" s="30"/>
      <c r="D822" s="11"/>
      <c r="E822" s="5"/>
      <c r="F822" s="6"/>
      <c r="G822" s="6"/>
      <c r="I822" s="31"/>
      <c r="J822" s="8"/>
      <c r="K822" s="9"/>
    </row>
    <row r="823" spans="1:11">
      <c r="A823" s="15"/>
      <c r="B823" s="6"/>
      <c r="C823" s="30"/>
      <c r="D823" s="11"/>
      <c r="E823" s="5"/>
      <c r="F823" s="6"/>
      <c r="G823" s="6"/>
      <c r="I823" s="31"/>
      <c r="J823" s="8"/>
      <c r="K823" s="9"/>
    </row>
    <row r="824" spans="1:11">
      <c r="A824" s="15"/>
      <c r="B824" s="6"/>
      <c r="C824" s="30"/>
      <c r="D824" s="11"/>
      <c r="E824" s="5"/>
      <c r="F824" s="6"/>
      <c r="G824" s="6"/>
      <c r="I824" s="31"/>
      <c r="J824" s="8"/>
      <c r="K824" s="9"/>
    </row>
    <row r="825" spans="1:11">
      <c r="A825" s="15"/>
      <c r="B825" s="6"/>
      <c r="C825" s="30"/>
      <c r="D825" s="11"/>
      <c r="E825" s="5"/>
      <c r="F825" s="6"/>
      <c r="G825" s="6"/>
      <c r="I825" s="31"/>
      <c r="J825" s="8"/>
      <c r="K825" s="9"/>
    </row>
    <row r="826" spans="1:11">
      <c r="A826" s="15"/>
      <c r="B826" s="6"/>
      <c r="C826" s="30"/>
      <c r="D826" s="11"/>
      <c r="E826" s="5"/>
      <c r="F826" s="6"/>
      <c r="G826" s="6"/>
      <c r="I826" s="31"/>
      <c r="J826" s="8"/>
      <c r="K826" s="9"/>
    </row>
    <row r="827" spans="1:11">
      <c r="A827" s="15"/>
      <c r="B827" s="6"/>
      <c r="C827" s="30"/>
      <c r="D827" s="11"/>
      <c r="E827" s="5"/>
      <c r="F827" s="6"/>
      <c r="G827" s="6"/>
      <c r="I827" s="31"/>
      <c r="J827" s="8"/>
      <c r="K827" s="9"/>
    </row>
    <row r="828" spans="1:11">
      <c r="A828" s="15"/>
      <c r="B828" s="6"/>
      <c r="C828" s="30"/>
      <c r="D828" s="11"/>
      <c r="E828" s="5"/>
      <c r="F828" s="6"/>
      <c r="G828" s="6"/>
      <c r="I828" s="31"/>
      <c r="J828" s="8"/>
      <c r="K828" s="9"/>
    </row>
    <row r="829" spans="1:11">
      <c r="A829" s="15"/>
      <c r="B829" s="6"/>
      <c r="C829" s="30"/>
      <c r="D829" s="11"/>
      <c r="E829" s="5"/>
      <c r="F829" s="6"/>
      <c r="G829" s="6"/>
      <c r="I829" s="31"/>
      <c r="J829" s="8"/>
      <c r="K829" s="9"/>
    </row>
    <row r="830" spans="1:11">
      <c r="A830" s="15"/>
      <c r="B830" s="6"/>
      <c r="C830" s="30"/>
      <c r="D830" s="11"/>
      <c r="E830" s="5"/>
      <c r="F830" s="6"/>
      <c r="G830" s="6"/>
      <c r="I830" s="31"/>
      <c r="J830" s="8"/>
      <c r="K830" s="9"/>
    </row>
    <row r="831" spans="1:11">
      <c r="A831" s="15"/>
      <c r="B831" s="6"/>
      <c r="C831" s="30"/>
      <c r="D831" s="11"/>
      <c r="E831" s="5"/>
      <c r="F831" s="6"/>
      <c r="G831" s="6"/>
      <c r="I831" s="31"/>
      <c r="J831" s="8"/>
      <c r="K831" s="9"/>
    </row>
    <row r="832" spans="1:11">
      <c r="A832" s="15"/>
      <c r="B832" s="6"/>
      <c r="C832" s="30"/>
      <c r="D832" s="11"/>
      <c r="E832" s="5"/>
      <c r="F832" s="6"/>
      <c r="G832" s="6"/>
      <c r="I832" s="31"/>
      <c r="J832" s="8"/>
      <c r="K832" s="9"/>
    </row>
    <row r="833" spans="1:11">
      <c r="A833" s="15"/>
      <c r="B833" s="6"/>
      <c r="C833" s="30"/>
      <c r="D833" s="11"/>
      <c r="E833" s="5"/>
      <c r="F833" s="6"/>
      <c r="G833" s="6"/>
      <c r="I833" s="31"/>
      <c r="J833" s="8"/>
      <c r="K833" s="9"/>
    </row>
    <row r="834" spans="1:11">
      <c r="A834" s="15"/>
      <c r="B834" s="6"/>
      <c r="C834" s="30"/>
      <c r="D834" s="11"/>
      <c r="E834" s="5"/>
      <c r="F834" s="6"/>
      <c r="G834" s="6"/>
      <c r="I834" s="31"/>
      <c r="J834" s="8"/>
      <c r="K834" s="9"/>
    </row>
    <row r="835" spans="1:11">
      <c r="A835" s="15"/>
      <c r="B835" s="6"/>
      <c r="C835" s="30"/>
      <c r="D835" s="11"/>
      <c r="E835" s="5"/>
      <c r="F835" s="6"/>
      <c r="G835" s="6"/>
      <c r="I835" s="31"/>
      <c r="J835" s="8"/>
      <c r="K835" s="9"/>
    </row>
    <row r="836" spans="1:11">
      <c r="A836" s="15"/>
      <c r="B836" s="6"/>
      <c r="C836" s="30"/>
      <c r="D836" s="11"/>
      <c r="E836" s="5"/>
      <c r="F836" s="6"/>
      <c r="G836" s="6"/>
      <c r="I836" s="31"/>
      <c r="J836" s="8"/>
      <c r="K836" s="9"/>
    </row>
    <row r="837" spans="1:11">
      <c r="A837" s="15"/>
      <c r="B837" s="6"/>
      <c r="C837" s="30"/>
      <c r="D837" s="11"/>
      <c r="E837" s="5"/>
      <c r="F837" s="6"/>
      <c r="G837" s="6"/>
      <c r="I837" s="31"/>
      <c r="J837" s="8"/>
      <c r="K837" s="9"/>
    </row>
    <row r="838" spans="1:11">
      <c r="A838" s="15"/>
      <c r="B838" s="6"/>
      <c r="C838" s="30"/>
      <c r="D838" s="11"/>
      <c r="E838" s="5"/>
      <c r="F838" s="6"/>
      <c r="G838" s="6"/>
      <c r="I838" s="31"/>
      <c r="J838" s="8"/>
      <c r="K838" s="9"/>
    </row>
    <row r="839" spans="1:11">
      <c r="A839" s="15"/>
      <c r="B839" s="6"/>
      <c r="C839" s="30"/>
      <c r="D839" s="11"/>
      <c r="E839" s="5"/>
      <c r="F839" s="6"/>
      <c r="G839" s="6"/>
      <c r="I839" s="31"/>
      <c r="J839" s="8"/>
      <c r="K839" s="9"/>
    </row>
    <row r="840" spans="1:11">
      <c r="A840" s="15"/>
      <c r="B840" s="6"/>
      <c r="C840" s="30"/>
      <c r="D840" s="11"/>
      <c r="E840" s="5"/>
      <c r="F840" s="6"/>
      <c r="G840" s="6"/>
      <c r="I840" s="31"/>
      <c r="J840" s="8"/>
      <c r="K840" s="9"/>
    </row>
    <row r="841" spans="1:11">
      <c r="A841" s="15"/>
      <c r="B841" s="6"/>
      <c r="C841" s="30"/>
      <c r="D841" s="11"/>
      <c r="E841" s="5"/>
      <c r="F841" s="6"/>
      <c r="G841" s="6"/>
      <c r="I841" s="31"/>
      <c r="J841" s="8"/>
      <c r="K841" s="9"/>
    </row>
    <row r="842" spans="1:11">
      <c r="A842" s="15"/>
      <c r="B842" s="6"/>
      <c r="C842" s="30"/>
      <c r="D842" s="11"/>
      <c r="E842" s="5"/>
      <c r="F842" s="6"/>
      <c r="G842" s="6"/>
      <c r="I842" s="31"/>
      <c r="J842" s="8"/>
      <c r="K842" s="9"/>
    </row>
    <row r="843" spans="1:11">
      <c r="A843" s="15"/>
      <c r="B843" s="6"/>
      <c r="C843" s="30"/>
      <c r="D843" s="11"/>
      <c r="E843" s="5"/>
      <c r="F843" s="6"/>
      <c r="G843" s="6"/>
      <c r="I843" s="31"/>
      <c r="J843" s="8"/>
      <c r="K843" s="9"/>
    </row>
    <row r="844" spans="1:11">
      <c r="A844" s="15"/>
      <c r="B844" s="6"/>
      <c r="C844" s="30"/>
      <c r="D844" s="11"/>
      <c r="E844" s="5"/>
      <c r="F844" s="6"/>
      <c r="G844" s="6"/>
      <c r="I844" s="31"/>
      <c r="J844" s="8"/>
      <c r="K844" s="9"/>
    </row>
    <row r="845" spans="1:11">
      <c r="A845" s="15"/>
      <c r="B845" s="6"/>
      <c r="C845" s="30"/>
      <c r="D845" s="11"/>
      <c r="E845" s="5"/>
      <c r="F845" s="6"/>
      <c r="G845" s="6"/>
      <c r="I845" s="31"/>
      <c r="J845" s="8"/>
      <c r="K845" s="9"/>
    </row>
    <row r="846" spans="1:11">
      <c r="A846" s="15"/>
      <c r="B846" s="6"/>
      <c r="C846" s="30"/>
      <c r="D846" s="11"/>
      <c r="E846" s="5"/>
      <c r="F846" s="6"/>
      <c r="G846" s="6"/>
      <c r="I846" s="31"/>
      <c r="J846" s="8"/>
      <c r="K846" s="9"/>
    </row>
    <row r="847" spans="1:11">
      <c r="A847" s="15"/>
      <c r="B847" s="6"/>
      <c r="C847" s="30"/>
      <c r="D847" s="11"/>
      <c r="E847" s="5"/>
      <c r="F847" s="6"/>
      <c r="G847" s="6"/>
      <c r="I847" s="31"/>
      <c r="J847" s="8"/>
      <c r="K847" s="9"/>
    </row>
    <row r="848" spans="1:11">
      <c r="A848" s="15"/>
      <c r="B848" s="6"/>
      <c r="C848" s="30"/>
      <c r="D848" s="11"/>
      <c r="E848" s="5"/>
      <c r="F848" s="6"/>
      <c r="G848" s="6"/>
      <c r="I848" s="31"/>
      <c r="J848" s="8"/>
      <c r="K848" s="9"/>
    </row>
    <row r="849" spans="1:11">
      <c r="A849" s="15"/>
      <c r="B849" s="6"/>
      <c r="C849" s="30"/>
      <c r="D849" s="11"/>
      <c r="E849" s="5"/>
      <c r="F849" s="6"/>
      <c r="G849" s="6"/>
      <c r="I849" s="31"/>
      <c r="J849" s="8"/>
      <c r="K849" s="9"/>
    </row>
    <row r="850" spans="1:11">
      <c r="A850" s="15"/>
      <c r="B850" s="6"/>
      <c r="C850" s="30"/>
      <c r="D850" s="11"/>
      <c r="E850" s="5"/>
      <c r="F850" s="6"/>
      <c r="G850" s="6"/>
      <c r="I850" s="31"/>
      <c r="J850" s="8"/>
      <c r="K850" s="9"/>
    </row>
    <row r="851" spans="1:11">
      <c r="A851" s="15"/>
      <c r="B851" s="6"/>
      <c r="C851" s="30"/>
      <c r="D851" s="11"/>
      <c r="E851" s="5"/>
      <c r="F851" s="6"/>
      <c r="G851" s="6"/>
      <c r="I851" s="31"/>
      <c r="J851" s="8"/>
      <c r="K851" s="9"/>
    </row>
    <row r="852" spans="1:11">
      <c r="A852" s="15"/>
      <c r="B852" s="6"/>
      <c r="C852" s="30"/>
      <c r="D852" s="11"/>
      <c r="E852" s="5"/>
      <c r="F852" s="6"/>
      <c r="G852" s="6"/>
      <c r="I852" s="31"/>
      <c r="J852" s="8"/>
      <c r="K852" s="9"/>
    </row>
    <row r="853" spans="1:11">
      <c r="A853" s="15"/>
      <c r="B853" s="6"/>
      <c r="C853" s="30"/>
      <c r="D853" s="11"/>
      <c r="E853" s="5"/>
      <c r="F853" s="6"/>
      <c r="G853" s="6"/>
      <c r="I853" s="31"/>
      <c r="J853" s="8"/>
      <c r="K853" s="9"/>
    </row>
    <row r="854" spans="1:11">
      <c r="A854" s="15"/>
      <c r="B854" s="6"/>
      <c r="C854" s="30"/>
      <c r="D854" s="11"/>
      <c r="E854" s="5"/>
      <c r="F854" s="6"/>
      <c r="G854" s="6"/>
      <c r="I854" s="31"/>
      <c r="J854" s="8"/>
      <c r="K854" s="9"/>
    </row>
    <row r="855" spans="1:11">
      <c r="A855" s="15"/>
      <c r="B855" s="6"/>
      <c r="C855" s="30"/>
      <c r="D855" s="11"/>
      <c r="E855" s="5"/>
      <c r="F855" s="6"/>
      <c r="G855" s="6"/>
      <c r="I855" s="31"/>
      <c r="J855" s="8"/>
      <c r="K855" s="9"/>
    </row>
    <row r="856" spans="1:11">
      <c r="A856" s="15"/>
      <c r="B856" s="6"/>
      <c r="C856" s="30"/>
      <c r="D856" s="11"/>
      <c r="E856" s="5"/>
      <c r="F856" s="6"/>
      <c r="G856" s="6"/>
      <c r="I856" s="31"/>
      <c r="J856" s="8"/>
      <c r="K856" s="9"/>
    </row>
    <row r="857" spans="1:11">
      <c r="A857" s="15"/>
      <c r="B857" s="6"/>
      <c r="C857" s="30"/>
      <c r="D857" s="11"/>
      <c r="E857" s="5"/>
      <c r="F857" s="6"/>
      <c r="G857" s="6"/>
      <c r="I857" s="31"/>
      <c r="J857" s="8"/>
      <c r="K857" s="9"/>
    </row>
    <row r="858" spans="1:11">
      <c r="A858" s="15"/>
      <c r="B858" s="6"/>
      <c r="C858" s="30"/>
      <c r="D858" s="11"/>
      <c r="E858" s="5"/>
      <c r="F858" s="6"/>
      <c r="G858" s="6"/>
      <c r="I858" s="31"/>
      <c r="J858" s="8"/>
      <c r="K858" s="9"/>
    </row>
    <row r="859" spans="1:11">
      <c r="A859" s="15"/>
      <c r="B859" s="6"/>
      <c r="C859" s="30"/>
      <c r="D859" s="11"/>
      <c r="E859" s="5"/>
      <c r="F859" s="6"/>
      <c r="G859" s="6"/>
      <c r="I859" s="31"/>
      <c r="J859" s="8"/>
      <c r="K859" s="9"/>
    </row>
    <row r="860" spans="1:11">
      <c r="A860" s="15"/>
      <c r="B860" s="6"/>
      <c r="C860" s="30"/>
      <c r="D860" s="11"/>
      <c r="E860" s="5"/>
      <c r="F860" s="6"/>
      <c r="G860" s="6"/>
      <c r="I860" s="31"/>
      <c r="J860" s="8"/>
      <c r="K860" s="9"/>
    </row>
    <row r="861" spans="1:11">
      <c r="A861" s="15"/>
      <c r="B861" s="6"/>
      <c r="C861" s="30"/>
      <c r="D861" s="11"/>
      <c r="E861" s="5"/>
      <c r="F861" s="6"/>
      <c r="G861" s="6"/>
      <c r="I861" s="31"/>
      <c r="J861" s="8"/>
      <c r="K861" s="9"/>
    </row>
    <row r="862" spans="1:11">
      <c r="A862" s="15"/>
      <c r="B862" s="6"/>
      <c r="C862" s="30"/>
      <c r="D862" s="11"/>
      <c r="E862" s="5"/>
      <c r="F862" s="6"/>
      <c r="G862" s="6"/>
      <c r="I862" s="31"/>
      <c r="J862" s="8"/>
      <c r="K862" s="9"/>
    </row>
    <row r="863" spans="1:11">
      <c r="A863" s="15"/>
      <c r="B863" s="6"/>
      <c r="C863" s="30"/>
      <c r="D863" s="11"/>
      <c r="E863" s="5"/>
      <c r="F863" s="6"/>
      <c r="G863" s="6"/>
      <c r="I863" s="31"/>
      <c r="J863" s="8"/>
      <c r="K863" s="9"/>
    </row>
    <row r="864" spans="1:11">
      <c r="A864" s="15"/>
      <c r="B864" s="6"/>
      <c r="C864" s="30"/>
      <c r="D864" s="11"/>
      <c r="E864" s="5"/>
      <c r="F864" s="6"/>
      <c r="G864" s="6"/>
      <c r="I864" s="31"/>
      <c r="J864" s="8"/>
      <c r="K864" s="9"/>
    </row>
    <row r="865" spans="1:11">
      <c r="A865" s="15"/>
      <c r="B865" s="6"/>
      <c r="C865" s="30"/>
      <c r="D865" s="11"/>
      <c r="E865" s="5"/>
      <c r="F865" s="6"/>
      <c r="G865" s="6"/>
      <c r="I865" s="31"/>
      <c r="J865" s="8"/>
      <c r="K865" s="9"/>
    </row>
    <row r="866" spans="1:11">
      <c r="A866" s="15"/>
      <c r="B866" s="6"/>
      <c r="C866" s="30"/>
      <c r="D866" s="11"/>
      <c r="E866" s="5"/>
      <c r="F866" s="6"/>
      <c r="G866" s="6"/>
      <c r="I866" s="31"/>
      <c r="J866" s="8"/>
      <c r="K866" s="9"/>
    </row>
    <row r="867" spans="1:11">
      <c r="A867" s="15"/>
      <c r="B867" s="6"/>
      <c r="C867" s="30"/>
      <c r="D867" s="11"/>
      <c r="E867" s="5"/>
      <c r="F867" s="6"/>
      <c r="G867" s="6"/>
      <c r="I867" s="31"/>
      <c r="J867" s="8"/>
      <c r="K867" s="9"/>
    </row>
    <row r="868" spans="1:11">
      <c r="A868" s="15"/>
      <c r="B868" s="6"/>
      <c r="C868" s="30"/>
      <c r="D868" s="11"/>
      <c r="E868" s="5"/>
      <c r="F868" s="6"/>
      <c r="G868" s="6"/>
      <c r="I868" s="31"/>
      <c r="J868" s="8"/>
      <c r="K868" s="9"/>
    </row>
    <row r="869" spans="1:11">
      <c r="A869" s="15"/>
      <c r="B869" s="6"/>
      <c r="C869" s="30"/>
      <c r="D869" s="11"/>
      <c r="E869" s="5"/>
      <c r="F869" s="6"/>
      <c r="G869" s="6"/>
      <c r="I869" s="31"/>
      <c r="J869" s="8"/>
      <c r="K869" s="9"/>
    </row>
    <row r="870" spans="1:11">
      <c r="A870" s="15"/>
      <c r="B870" s="6"/>
      <c r="C870" s="30"/>
      <c r="D870" s="11"/>
      <c r="E870" s="5"/>
      <c r="F870" s="6"/>
      <c r="G870" s="6"/>
      <c r="I870" s="31"/>
      <c r="J870" s="8"/>
      <c r="K870" s="9"/>
    </row>
    <row r="871" spans="1:11">
      <c r="A871" s="15"/>
      <c r="B871" s="6"/>
      <c r="C871" s="30"/>
      <c r="D871" s="11"/>
      <c r="E871" s="5"/>
      <c r="F871" s="6"/>
      <c r="G871" s="6"/>
      <c r="I871" s="31"/>
      <c r="J871" s="8"/>
      <c r="K871" s="9"/>
    </row>
    <row r="872" spans="1:11">
      <c r="A872" s="15"/>
      <c r="B872" s="6"/>
      <c r="C872" s="30"/>
      <c r="D872" s="11"/>
      <c r="E872" s="5"/>
      <c r="F872" s="6"/>
      <c r="G872" s="6"/>
      <c r="I872" s="31"/>
      <c r="J872" s="8"/>
      <c r="K872" s="9"/>
    </row>
    <row r="873" spans="1:11">
      <c r="A873" s="15"/>
      <c r="B873" s="6"/>
      <c r="C873" s="30"/>
      <c r="D873" s="11"/>
      <c r="E873" s="5"/>
      <c r="F873" s="6"/>
      <c r="G873" s="6"/>
      <c r="I873" s="31"/>
      <c r="J873" s="8"/>
      <c r="K873" s="9"/>
    </row>
    <row r="874" spans="1:11">
      <c r="A874" s="15"/>
      <c r="B874" s="6"/>
      <c r="C874" s="30"/>
      <c r="D874" s="11"/>
      <c r="E874" s="5"/>
      <c r="F874" s="6"/>
      <c r="G874" s="6"/>
      <c r="I874" s="31"/>
      <c r="J874" s="8"/>
      <c r="K874" s="9"/>
    </row>
    <row r="875" spans="1:11">
      <c r="A875" s="15"/>
      <c r="B875" s="6"/>
      <c r="C875" s="30"/>
      <c r="D875" s="11"/>
      <c r="E875" s="5"/>
      <c r="F875" s="6"/>
      <c r="G875" s="6"/>
      <c r="I875" s="31"/>
      <c r="J875" s="8"/>
      <c r="K875" s="9"/>
    </row>
    <row r="876" spans="1:11">
      <c r="A876" s="15"/>
      <c r="B876" s="6"/>
      <c r="C876" s="30"/>
      <c r="D876" s="11"/>
      <c r="E876" s="5"/>
      <c r="F876" s="6"/>
      <c r="G876" s="6"/>
      <c r="I876" s="31"/>
      <c r="J876" s="8"/>
      <c r="K876" s="9"/>
    </row>
    <row r="877" spans="1:11">
      <c r="A877" s="15"/>
      <c r="B877" s="6"/>
      <c r="C877" s="30"/>
      <c r="D877" s="11"/>
      <c r="E877" s="5"/>
      <c r="F877" s="6"/>
      <c r="G877" s="6"/>
      <c r="I877" s="31"/>
      <c r="J877" s="8"/>
      <c r="K877" s="9"/>
    </row>
    <row r="878" spans="1:11">
      <c r="A878" s="15"/>
      <c r="B878" s="6"/>
      <c r="C878" s="30"/>
      <c r="D878" s="11"/>
      <c r="E878" s="5"/>
      <c r="F878" s="6"/>
      <c r="G878" s="6"/>
      <c r="I878" s="31"/>
      <c r="J878" s="8"/>
      <c r="K878" s="9"/>
    </row>
    <row r="879" spans="1:11">
      <c r="A879" s="15"/>
      <c r="B879" s="6"/>
      <c r="C879" s="30"/>
      <c r="D879" s="11"/>
      <c r="E879" s="5"/>
      <c r="F879" s="6"/>
      <c r="G879" s="6"/>
      <c r="I879" s="31"/>
      <c r="J879" s="8"/>
      <c r="K879" s="9"/>
    </row>
    <row r="880" spans="1:11">
      <c r="A880" s="15"/>
      <c r="B880" s="6"/>
      <c r="C880" s="30"/>
      <c r="D880" s="11"/>
      <c r="E880" s="5"/>
      <c r="F880" s="6"/>
      <c r="G880" s="6"/>
      <c r="I880" s="31"/>
      <c r="J880" s="8"/>
      <c r="K880" s="9"/>
    </row>
    <row r="881" spans="1:11">
      <c r="A881" s="15"/>
      <c r="B881" s="6"/>
      <c r="C881" s="30"/>
      <c r="D881" s="11"/>
      <c r="E881" s="5"/>
      <c r="F881" s="6"/>
      <c r="G881" s="6"/>
      <c r="I881" s="31"/>
      <c r="J881" s="8"/>
      <c r="K881" s="9"/>
    </row>
    <row r="882" spans="1:11">
      <c r="A882" s="15"/>
      <c r="B882" s="6"/>
      <c r="C882" s="30"/>
      <c r="D882" s="11"/>
      <c r="E882" s="5"/>
      <c r="F882" s="6"/>
      <c r="G882" s="6"/>
      <c r="I882" s="31"/>
      <c r="J882" s="8"/>
      <c r="K882" s="9"/>
    </row>
    <row r="883" spans="1:11">
      <c r="A883" s="15"/>
      <c r="B883" s="6"/>
      <c r="C883" s="30"/>
      <c r="D883" s="11"/>
      <c r="E883" s="5"/>
      <c r="F883" s="6"/>
      <c r="G883" s="6"/>
      <c r="I883" s="31"/>
      <c r="J883" s="8"/>
      <c r="K883" s="9"/>
    </row>
    <row r="884" spans="1:11">
      <c r="A884" s="15"/>
      <c r="B884" s="6"/>
      <c r="C884" s="30"/>
      <c r="D884" s="11"/>
      <c r="E884" s="5"/>
      <c r="F884" s="6"/>
      <c r="G884" s="6"/>
      <c r="I884" s="31"/>
      <c r="J884" s="8"/>
      <c r="K884" s="9"/>
    </row>
    <row r="885" spans="1:11">
      <c r="A885" s="15"/>
      <c r="B885" s="6"/>
      <c r="C885" s="30"/>
      <c r="D885" s="11"/>
      <c r="E885" s="5"/>
      <c r="F885" s="6"/>
      <c r="G885" s="6"/>
      <c r="I885" s="31"/>
      <c r="J885" s="8"/>
      <c r="K885" s="9"/>
    </row>
    <row r="886" spans="1:11">
      <c r="A886" s="15"/>
      <c r="B886" s="6"/>
      <c r="C886" s="30"/>
      <c r="D886" s="11"/>
      <c r="E886" s="5"/>
      <c r="F886" s="6"/>
      <c r="G886" s="6"/>
      <c r="I886" s="31"/>
      <c r="J886" s="8"/>
      <c r="K886" s="9"/>
    </row>
    <row r="887" spans="1:11">
      <c r="A887" s="15"/>
      <c r="B887" s="6"/>
      <c r="C887" s="30"/>
      <c r="D887" s="11"/>
      <c r="E887" s="5"/>
      <c r="F887" s="6"/>
      <c r="G887" s="6"/>
      <c r="I887" s="31"/>
      <c r="J887" s="8"/>
      <c r="K887" s="9"/>
    </row>
    <row r="888" spans="1:11">
      <c r="A888" s="15"/>
      <c r="B888" s="6"/>
      <c r="C888" s="30"/>
      <c r="D888" s="11"/>
      <c r="E888" s="5"/>
      <c r="F888" s="6"/>
      <c r="G888" s="6"/>
      <c r="I888" s="31"/>
      <c r="J888" s="8"/>
      <c r="K888" s="9"/>
    </row>
    <row r="889" spans="1:11">
      <c r="A889" s="15"/>
      <c r="B889" s="6"/>
      <c r="C889" s="30"/>
      <c r="D889" s="11"/>
      <c r="E889" s="5"/>
      <c r="F889" s="6"/>
      <c r="G889" s="6"/>
      <c r="I889" s="31"/>
      <c r="J889" s="8"/>
      <c r="K889" s="9"/>
    </row>
    <row r="890" spans="1:11">
      <c r="A890" s="15"/>
      <c r="B890" s="6"/>
      <c r="C890" s="30"/>
      <c r="D890" s="11"/>
      <c r="E890" s="5"/>
      <c r="F890" s="6"/>
      <c r="G890" s="6"/>
      <c r="I890" s="31"/>
      <c r="J890" s="8"/>
      <c r="K890" s="9"/>
    </row>
    <row r="891" spans="1:11">
      <c r="A891" s="15"/>
      <c r="B891" s="6"/>
      <c r="C891" s="30"/>
      <c r="D891" s="11"/>
      <c r="E891" s="5"/>
      <c r="F891" s="6"/>
      <c r="G891" s="6"/>
      <c r="I891" s="31"/>
      <c r="J891" s="8"/>
      <c r="K891" s="9"/>
    </row>
    <row r="892" spans="1:11">
      <c r="A892" s="15"/>
      <c r="B892" s="6"/>
      <c r="C892" s="30"/>
      <c r="D892" s="11"/>
      <c r="E892" s="5"/>
      <c r="F892" s="6"/>
      <c r="G892" s="6"/>
      <c r="I892" s="31"/>
      <c r="J892" s="8"/>
      <c r="K892" s="9"/>
    </row>
    <row r="893" spans="1:11">
      <c r="A893" s="15"/>
      <c r="B893" s="6"/>
      <c r="C893" s="30"/>
      <c r="D893" s="11"/>
      <c r="E893" s="5"/>
      <c r="F893" s="6"/>
      <c r="G893" s="6"/>
      <c r="I893" s="31"/>
      <c r="J893" s="8"/>
      <c r="K893" s="9"/>
    </row>
    <row r="894" spans="1:11">
      <c r="A894" s="15"/>
      <c r="B894" s="6"/>
      <c r="C894" s="30"/>
      <c r="D894" s="11"/>
      <c r="E894" s="5"/>
      <c r="F894" s="6"/>
      <c r="G894" s="6"/>
      <c r="I894" s="31"/>
      <c r="J894" s="8"/>
      <c r="K894" s="9"/>
    </row>
    <row r="895" spans="1:11">
      <c r="A895" s="15"/>
      <c r="B895" s="6"/>
      <c r="C895" s="30"/>
      <c r="D895" s="11"/>
      <c r="E895" s="5"/>
      <c r="F895" s="6"/>
      <c r="G895" s="6"/>
      <c r="I895" s="31"/>
      <c r="J895" s="8"/>
      <c r="K895" s="9"/>
    </row>
    <row r="896" spans="1:11">
      <c r="A896" s="15"/>
      <c r="B896" s="6"/>
      <c r="C896" s="30"/>
      <c r="D896" s="11"/>
      <c r="E896" s="5"/>
      <c r="F896" s="6"/>
      <c r="G896" s="6"/>
      <c r="I896" s="31"/>
      <c r="J896" s="8"/>
      <c r="K896" s="9"/>
    </row>
    <row r="897" spans="1:11">
      <c r="A897" s="15"/>
      <c r="B897" s="6"/>
      <c r="C897" s="30"/>
      <c r="D897" s="11"/>
      <c r="E897" s="5"/>
      <c r="F897" s="6"/>
      <c r="G897" s="6"/>
      <c r="I897" s="31"/>
      <c r="J897" s="8"/>
      <c r="K897" s="9"/>
    </row>
    <row r="898" spans="1:11">
      <c r="A898" s="15"/>
      <c r="B898" s="6"/>
      <c r="C898" s="30"/>
      <c r="D898" s="11"/>
      <c r="E898" s="5"/>
      <c r="F898" s="6"/>
      <c r="G898" s="6"/>
      <c r="I898" s="31"/>
      <c r="J898" s="8"/>
      <c r="K898" s="9"/>
    </row>
    <row r="899" spans="1:11">
      <c r="A899" s="15"/>
      <c r="B899" s="6"/>
      <c r="C899" s="30"/>
      <c r="D899" s="11"/>
      <c r="E899" s="5"/>
      <c r="F899" s="6"/>
      <c r="G899" s="6"/>
      <c r="I899" s="31"/>
      <c r="J899" s="8"/>
      <c r="K899" s="9"/>
    </row>
    <row r="900" spans="1:11">
      <c r="A900" s="15"/>
      <c r="B900" s="6"/>
      <c r="C900" s="30"/>
      <c r="D900" s="11"/>
      <c r="E900" s="5"/>
      <c r="F900" s="6"/>
      <c r="G900" s="6"/>
      <c r="I900" s="31"/>
      <c r="J900" s="8"/>
      <c r="K900" s="9"/>
    </row>
    <row r="901" spans="1:11">
      <c r="A901" s="15"/>
      <c r="B901" s="6"/>
      <c r="C901" s="30"/>
      <c r="D901" s="11"/>
      <c r="E901" s="5"/>
      <c r="F901" s="6"/>
      <c r="G901" s="6"/>
      <c r="I901" s="31"/>
      <c r="J901" s="8"/>
      <c r="K901" s="9"/>
    </row>
    <row r="902" spans="1:11">
      <c r="A902" s="15"/>
      <c r="B902" s="6"/>
      <c r="C902" s="30"/>
      <c r="D902" s="11"/>
      <c r="E902" s="5"/>
      <c r="F902" s="6"/>
      <c r="G902" s="6"/>
      <c r="I902" s="31"/>
      <c r="J902" s="8"/>
      <c r="K902" s="9"/>
    </row>
    <row r="903" spans="1:11">
      <c r="A903" s="15"/>
      <c r="B903" s="6"/>
      <c r="C903" s="30"/>
      <c r="D903" s="11"/>
      <c r="E903" s="5"/>
      <c r="F903" s="6"/>
      <c r="G903" s="6"/>
      <c r="I903" s="31"/>
      <c r="J903" s="8"/>
      <c r="K903" s="9"/>
    </row>
    <row r="904" spans="1:11">
      <c r="A904" s="15"/>
      <c r="B904" s="6"/>
      <c r="C904" s="30"/>
      <c r="D904" s="11"/>
      <c r="E904" s="5"/>
      <c r="F904" s="6"/>
      <c r="G904" s="6"/>
      <c r="I904" s="31"/>
      <c r="J904" s="8"/>
      <c r="K904" s="9"/>
    </row>
    <row r="905" spans="1:11">
      <c r="A905" s="15"/>
      <c r="B905" s="6"/>
      <c r="C905" s="30"/>
      <c r="D905" s="11"/>
      <c r="E905" s="5"/>
      <c r="F905" s="6"/>
      <c r="G905" s="6"/>
      <c r="I905" s="31"/>
      <c r="J905" s="8"/>
      <c r="K905" s="9"/>
    </row>
    <row r="906" spans="1:11">
      <c r="A906" s="15"/>
      <c r="B906" s="6"/>
      <c r="C906" s="30"/>
      <c r="D906" s="11"/>
      <c r="E906" s="5"/>
      <c r="F906" s="6"/>
      <c r="G906" s="6"/>
      <c r="I906" s="31"/>
      <c r="J906" s="8"/>
      <c r="K906" s="9"/>
    </row>
    <row r="907" spans="1:11">
      <c r="A907" s="15"/>
      <c r="B907" s="6"/>
      <c r="C907" s="30"/>
      <c r="D907" s="11"/>
      <c r="E907" s="5"/>
      <c r="F907" s="6"/>
      <c r="G907" s="6"/>
      <c r="I907" s="31"/>
      <c r="J907" s="8"/>
      <c r="K907" s="9"/>
    </row>
    <row r="908" spans="1:11">
      <c r="A908" s="15"/>
      <c r="B908" s="6"/>
      <c r="C908" s="30"/>
      <c r="D908" s="11"/>
      <c r="E908" s="5"/>
      <c r="F908" s="6"/>
      <c r="G908" s="6"/>
      <c r="I908" s="31"/>
      <c r="J908" s="8"/>
      <c r="K908" s="9"/>
    </row>
    <row r="909" spans="1:11">
      <c r="A909" s="15"/>
      <c r="B909" s="6"/>
      <c r="C909" s="30"/>
      <c r="D909" s="11"/>
      <c r="E909" s="5"/>
      <c r="F909" s="6"/>
      <c r="G909" s="6"/>
      <c r="I909" s="31"/>
      <c r="J909" s="8"/>
      <c r="K909" s="9"/>
    </row>
    <row r="910" spans="1:11">
      <c r="A910" s="15"/>
      <c r="B910" s="6"/>
      <c r="C910" s="30"/>
      <c r="D910" s="11"/>
      <c r="E910" s="5"/>
      <c r="F910" s="6"/>
      <c r="G910" s="6"/>
      <c r="I910" s="31"/>
      <c r="J910" s="8"/>
      <c r="K910" s="9"/>
    </row>
    <row r="911" spans="1:11">
      <c r="A911" s="15"/>
      <c r="B911" s="6"/>
      <c r="C911" s="30"/>
      <c r="D911" s="11"/>
      <c r="E911" s="5"/>
      <c r="F911" s="6"/>
      <c r="G911" s="6"/>
      <c r="I911" s="31"/>
      <c r="J911" s="8"/>
      <c r="K911" s="9"/>
    </row>
    <row r="912" spans="1:11">
      <c r="A912" s="15"/>
      <c r="B912" s="6"/>
      <c r="C912" s="30"/>
      <c r="D912" s="11"/>
      <c r="E912" s="5"/>
      <c r="F912" s="6"/>
      <c r="G912" s="6"/>
      <c r="I912" s="31"/>
      <c r="J912" s="8"/>
      <c r="K912" s="9"/>
    </row>
    <row r="913" spans="1:11">
      <c r="A913" s="15"/>
      <c r="B913" s="6"/>
      <c r="C913" s="30"/>
      <c r="D913" s="11"/>
      <c r="E913" s="5"/>
      <c r="F913" s="6"/>
      <c r="G913" s="6"/>
      <c r="I913" s="31"/>
      <c r="J913" s="8"/>
      <c r="K913" s="9"/>
    </row>
    <row r="914" spans="1:11">
      <c r="A914" s="15"/>
      <c r="B914" s="6"/>
      <c r="C914" s="30"/>
      <c r="D914" s="11"/>
      <c r="E914" s="5"/>
      <c r="F914" s="6"/>
      <c r="G914" s="6"/>
      <c r="I914" s="31"/>
      <c r="J914" s="8"/>
      <c r="K914" s="9"/>
    </row>
    <row r="915" spans="1:11">
      <c r="A915" s="15"/>
      <c r="B915" s="6"/>
      <c r="C915" s="30"/>
      <c r="D915" s="11"/>
      <c r="E915" s="5"/>
      <c r="F915" s="6"/>
      <c r="G915" s="6"/>
      <c r="I915" s="31"/>
      <c r="J915" s="8"/>
      <c r="K915" s="9"/>
    </row>
    <row r="916" spans="1:11">
      <c r="A916" s="15"/>
      <c r="B916" s="6"/>
      <c r="C916" s="30"/>
      <c r="D916" s="11"/>
      <c r="E916" s="5"/>
      <c r="F916" s="6"/>
      <c r="G916" s="6"/>
      <c r="I916" s="31"/>
      <c r="J916" s="8"/>
      <c r="K916" s="9"/>
    </row>
    <row r="917" spans="1:11">
      <c r="A917" s="15"/>
      <c r="B917" s="6"/>
      <c r="C917" s="30"/>
      <c r="D917" s="11"/>
      <c r="E917" s="5"/>
      <c r="F917" s="6"/>
      <c r="G917" s="6"/>
      <c r="I917" s="31"/>
      <c r="J917" s="8"/>
      <c r="K917" s="9"/>
    </row>
    <row r="918" spans="1:11">
      <c r="A918" s="15"/>
      <c r="B918" s="6"/>
      <c r="C918" s="30"/>
      <c r="D918" s="11"/>
      <c r="E918" s="5"/>
      <c r="F918" s="6"/>
      <c r="G918" s="6"/>
      <c r="I918" s="31"/>
      <c r="J918" s="8"/>
      <c r="K918" s="9"/>
    </row>
    <row r="919" spans="1:11">
      <c r="A919" s="15"/>
      <c r="B919" s="6"/>
      <c r="C919" s="30"/>
      <c r="D919" s="11"/>
      <c r="E919" s="5"/>
      <c r="F919" s="6"/>
      <c r="G919" s="6"/>
      <c r="I919" s="31"/>
      <c r="J919" s="8"/>
      <c r="K919" s="9"/>
    </row>
    <row r="920" spans="1:11">
      <c r="A920" s="15"/>
      <c r="B920" s="6"/>
      <c r="C920" s="30"/>
      <c r="D920" s="11"/>
      <c r="E920" s="5"/>
      <c r="F920" s="6"/>
      <c r="G920" s="6"/>
      <c r="I920" s="31"/>
      <c r="J920" s="8"/>
      <c r="K920" s="9"/>
    </row>
    <row r="921" spans="1:11">
      <c r="A921" s="15"/>
      <c r="B921" s="6"/>
      <c r="C921" s="30"/>
      <c r="D921" s="11"/>
      <c r="E921" s="5"/>
      <c r="F921" s="6"/>
      <c r="G921" s="6"/>
      <c r="I921" s="31"/>
      <c r="J921" s="8"/>
      <c r="K921" s="9"/>
    </row>
    <row r="922" spans="1:11">
      <c r="A922" s="15"/>
      <c r="B922" s="6"/>
      <c r="C922" s="30"/>
      <c r="D922" s="11"/>
      <c r="E922" s="5"/>
      <c r="F922" s="6"/>
      <c r="G922" s="6"/>
      <c r="I922" s="31"/>
      <c r="J922" s="8"/>
      <c r="K922" s="9"/>
    </row>
    <row r="923" spans="1:11">
      <c r="A923" s="15"/>
      <c r="B923" s="6"/>
      <c r="C923" s="30"/>
      <c r="D923" s="11"/>
      <c r="E923" s="5"/>
      <c r="F923" s="6"/>
      <c r="G923" s="6"/>
      <c r="I923" s="31"/>
      <c r="J923" s="8"/>
      <c r="K923" s="9"/>
    </row>
    <row r="924" spans="1:11">
      <c r="A924" s="15"/>
      <c r="B924" s="6"/>
      <c r="C924" s="30"/>
      <c r="D924" s="11"/>
      <c r="E924" s="5"/>
      <c r="F924" s="6"/>
      <c r="G924" s="6"/>
      <c r="I924" s="31"/>
      <c r="J924" s="8"/>
      <c r="K924" s="9"/>
    </row>
    <row r="925" spans="1:11">
      <c r="A925" s="15"/>
      <c r="B925" s="6"/>
      <c r="C925" s="30"/>
      <c r="D925" s="11"/>
      <c r="E925" s="5"/>
      <c r="F925" s="6"/>
      <c r="G925" s="6"/>
      <c r="I925" s="31"/>
      <c r="J925" s="8"/>
      <c r="K925" s="9"/>
    </row>
    <row r="926" spans="1:11">
      <c r="A926" s="15"/>
      <c r="B926" s="6"/>
      <c r="C926" s="30"/>
      <c r="D926" s="11"/>
      <c r="E926" s="5"/>
      <c r="F926" s="6"/>
      <c r="G926" s="6"/>
      <c r="I926" s="31"/>
      <c r="J926" s="8"/>
      <c r="K926" s="9"/>
    </row>
    <row r="927" spans="1:11">
      <c r="A927" s="15"/>
      <c r="B927" s="6"/>
      <c r="C927" s="30"/>
      <c r="D927" s="11"/>
      <c r="E927" s="5"/>
      <c r="F927" s="6"/>
      <c r="G927" s="6"/>
      <c r="I927" s="31"/>
      <c r="J927" s="8"/>
      <c r="K927" s="9"/>
    </row>
    <row r="928" spans="1:11">
      <c r="A928" s="15"/>
      <c r="B928" s="6"/>
      <c r="C928" s="30"/>
      <c r="D928" s="11"/>
      <c r="E928" s="5"/>
      <c r="F928" s="6"/>
      <c r="G928" s="6"/>
      <c r="I928" s="31"/>
      <c r="J928" s="8"/>
      <c r="K928" s="9"/>
    </row>
    <row r="929" spans="1:11">
      <c r="A929" s="15"/>
      <c r="B929" s="6"/>
      <c r="C929" s="30"/>
      <c r="D929" s="11"/>
      <c r="E929" s="5"/>
      <c r="F929" s="6"/>
      <c r="G929" s="6"/>
      <c r="I929" s="31"/>
      <c r="J929" s="8"/>
      <c r="K929" s="9"/>
    </row>
    <row r="930" spans="1:11">
      <c r="A930" s="15"/>
      <c r="B930" s="6"/>
      <c r="C930" s="30"/>
      <c r="D930" s="11"/>
      <c r="E930" s="5"/>
      <c r="F930" s="6"/>
      <c r="G930" s="6"/>
      <c r="I930" s="31"/>
      <c r="J930" s="8"/>
      <c r="K930" s="9"/>
    </row>
    <row r="931" spans="1:11">
      <c r="A931" s="15"/>
      <c r="B931" s="6"/>
      <c r="C931" s="30"/>
      <c r="D931" s="11"/>
      <c r="E931" s="5"/>
      <c r="F931" s="6"/>
      <c r="G931" s="6"/>
      <c r="I931" s="31"/>
      <c r="J931" s="8"/>
      <c r="K931" s="9"/>
    </row>
    <row r="932" spans="1:11">
      <c r="A932" s="15"/>
      <c r="B932" s="6"/>
      <c r="C932" s="30"/>
      <c r="D932" s="11"/>
      <c r="E932" s="5"/>
      <c r="F932" s="6"/>
      <c r="G932" s="6"/>
      <c r="I932" s="31"/>
      <c r="J932" s="8"/>
      <c r="K932" s="9"/>
    </row>
    <row r="933" spans="1:11">
      <c r="A933" s="15"/>
      <c r="B933" s="6"/>
      <c r="C933" s="30"/>
      <c r="D933" s="11"/>
      <c r="E933" s="5"/>
      <c r="F933" s="6"/>
      <c r="G933" s="6"/>
      <c r="I933" s="31"/>
      <c r="J933" s="8"/>
      <c r="K933" s="9"/>
    </row>
    <row r="934" spans="1:11">
      <c r="A934" s="15"/>
      <c r="B934" s="6"/>
      <c r="C934" s="30"/>
      <c r="D934" s="11"/>
      <c r="E934" s="5"/>
      <c r="F934" s="6"/>
      <c r="G934" s="6"/>
      <c r="I934" s="31"/>
      <c r="J934" s="8"/>
      <c r="K934" s="9"/>
    </row>
    <row r="935" spans="1:11">
      <c r="A935" s="15"/>
      <c r="B935" s="6"/>
      <c r="C935" s="30"/>
      <c r="D935" s="11"/>
      <c r="E935" s="5"/>
      <c r="F935" s="6"/>
      <c r="G935" s="6"/>
      <c r="I935" s="31"/>
      <c r="J935" s="8"/>
      <c r="K935" s="9"/>
    </row>
    <row r="936" spans="1:11">
      <c r="A936" s="15"/>
      <c r="B936" s="6"/>
      <c r="C936" s="30"/>
      <c r="D936" s="11"/>
      <c r="E936" s="5"/>
      <c r="F936" s="6"/>
      <c r="G936" s="6"/>
      <c r="I936" s="31"/>
      <c r="J936" s="8"/>
      <c r="K936" s="9"/>
    </row>
    <row r="937" spans="1:11">
      <c r="A937" s="15"/>
      <c r="B937" s="6"/>
      <c r="C937" s="30"/>
      <c r="D937" s="11"/>
      <c r="E937" s="5"/>
      <c r="F937" s="6"/>
      <c r="G937" s="6"/>
      <c r="I937" s="31"/>
      <c r="J937" s="8"/>
      <c r="K937" s="9"/>
    </row>
    <row r="938" spans="1:11">
      <c r="A938" s="15"/>
      <c r="B938" s="6"/>
      <c r="C938" s="30"/>
      <c r="D938" s="11"/>
      <c r="E938" s="5"/>
      <c r="F938" s="6"/>
      <c r="G938" s="6"/>
      <c r="I938" s="31"/>
      <c r="J938" s="8"/>
      <c r="K938" s="9"/>
    </row>
    <row r="939" spans="1:11">
      <c r="A939" s="15"/>
      <c r="B939" s="6"/>
      <c r="C939" s="30"/>
      <c r="D939" s="11"/>
      <c r="E939" s="5"/>
      <c r="F939" s="6"/>
      <c r="G939" s="6"/>
      <c r="I939" s="31"/>
      <c r="J939" s="8"/>
      <c r="K939" s="9"/>
    </row>
    <row r="940" spans="1:11">
      <c r="A940" s="15"/>
      <c r="B940" s="6"/>
      <c r="C940" s="30"/>
      <c r="D940" s="11"/>
      <c r="E940" s="5"/>
      <c r="F940" s="6"/>
      <c r="G940" s="6"/>
      <c r="I940" s="31"/>
      <c r="J940" s="8"/>
      <c r="K940" s="9"/>
    </row>
    <row r="941" spans="1:11">
      <c r="A941" s="15"/>
      <c r="B941" s="6"/>
      <c r="C941" s="30"/>
      <c r="D941" s="11"/>
      <c r="E941" s="5"/>
      <c r="F941" s="6"/>
      <c r="G941" s="6"/>
      <c r="I941" s="31"/>
      <c r="J941" s="8"/>
      <c r="K941" s="9"/>
    </row>
    <row r="942" spans="1:11">
      <c r="A942" s="15"/>
      <c r="B942" s="6"/>
      <c r="C942" s="30"/>
      <c r="D942" s="11"/>
      <c r="E942" s="5"/>
      <c r="F942" s="6"/>
      <c r="G942" s="6"/>
      <c r="I942" s="31"/>
      <c r="J942" s="8"/>
      <c r="K942" s="9"/>
    </row>
    <row r="943" spans="1:11">
      <c r="A943" s="15"/>
      <c r="B943" s="6"/>
      <c r="C943" s="30"/>
      <c r="D943" s="11"/>
      <c r="E943" s="5"/>
      <c r="F943" s="6"/>
      <c r="G943" s="6"/>
      <c r="I943" s="31"/>
      <c r="J943" s="8"/>
      <c r="K943" s="9"/>
    </row>
    <row r="944" spans="1:11">
      <c r="A944" s="15"/>
      <c r="B944" s="6"/>
      <c r="C944" s="30"/>
      <c r="D944" s="11"/>
      <c r="E944" s="5"/>
      <c r="F944" s="6"/>
      <c r="G944" s="6"/>
      <c r="I944" s="31"/>
      <c r="J944" s="8"/>
      <c r="K944" s="9"/>
    </row>
    <row r="945" spans="1:11">
      <c r="A945" s="15"/>
      <c r="B945" s="6"/>
      <c r="C945" s="30"/>
      <c r="D945" s="11"/>
      <c r="E945" s="5"/>
      <c r="F945" s="6"/>
      <c r="G945" s="6"/>
      <c r="I945" s="31"/>
      <c r="J945" s="8"/>
      <c r="K945" s="9"/>
    </row>
    <row r="946" spans="1:11">
      <c r="A946" s="15"/>
      <c r="B946" s="6"/>
      <c r="C946" s="30"/>
      <c r="D946" s="11"/>
      <c r="E946" s="5"/>
      <c r="F946" s="6"/>
      <c r="G946" s="6"/>
      <c r="I946" s="31"/>
      <c r="J946" s="8"/>
      <c r="K946" s="9"/>
    </row>
    <row r="947" spans="1:11">
      <c r="A947" s="15"/>
      <c r="B947" s="6"/>
      <c r="C947" s="30"/>
      <c r="D947" s="11"/>
      <c r="E947" s="5"/>
      <c r="F947" s="6"/>
      <c r="G947" s="6"/>
      <c r="I947" s="31"/>
      <c r="J947" s="8"/>
      <c r="K947" s="9"/>
    </row>
    <row r="948" spans="1:11">
      <c r="A948" s="15"/>
      <c r="B948" s="6"/>
      <c r="C948" s="30"/>
      <c r="D948" s="11"/>
      <c r="E948" s="5"/>
      <c r="F948" s="6"/>
      <c r="G948" s="6"/>
      <c r="I948" s="31"/>
      <c r="J948" s="8"/>
      <c r="K948" s="9"/>
    </row>
    <row r="949" spans="1:11">
      <c r="A949" s="15"/>
      <c r="B949" s="6"/>
      <c r="C949" s="30"/>
      <c r="D949" s="11"/>
      <c r="E949" s="5"/>
      <c r="F949" s="6"/>
      <c r="G949" s="6"/>
      <c r="I949" s="31"/>
      <c r="J949" s="8"/>
      <c r="K949" s="9"/>
    </row>
    <row r="950" spans="1:11">
      <c r="A950" s="15"/>
      <c r="B950" s="6"/>
      <c r="C950" s="30"/>
      <c r="D950" s="11"/>
      <c r="E950" s="5"/>
      <c r="F950" s="6"/>
      <c r="G950" s="6"/>
      <c r="I950" s="31"/>
      <c r="J950" s="8"/>
      <c r="K950" s="9"/>
    </row>
    <row r="951" spans="1:11">
      <c r="A951" s="15"/>
      <c r="B951" s="6"/>
      <c r="C951" s="30"/>
      <c r="D951" s="11"/>
      <c r="E951" s="5"/>
      <c r="F951" s="6"/>
      <c r="G951" s="6"/>
      <c r="I951" s="31"/>
      <c r="J951" s="8"/>
      <c r="K951" s="9"/>
    </row>
    <row r="952" spans="1:11">
      <c r="A952" s="15"/>
      <c r="B952" s="6"/>
      <c r="C952" s="30"/>
      <c r="D952" s="11"/>
      <c r="E952" s="5"/>
      <c r="F952" s="6"/>
      <c r="G952" s="6"/>
      <c r="I952" s="31"/>
      <c r="J952" s="8"/>
      <c r="K952" s="9"/>
    </row>
    <row r="953" spans="1:11">
      <c r="A953" s="15"/>
      <c r="B953" s="6"/>
      <c r="C953" s="30"/>
      <c r="D953" s="11"/>
      <c r="E953" s="5"/>
      <c r="F953" s="6"/>
      <c r="G953" s="6"/>
      <c r="I953" s="31"/>
      <c r="J953" s="8"/>
      <c r="K953" s="9"/>
    </row>
    <row r="954" spans="1:11">
      <c r="A954" s="15"/>
      <c r="B954" s="6"/>
      <c r="C954" s="30"/>
      <c r="D954" s="11"/>
      <c r="E954" s="5"/>
      <c r="F954" s="6"/>
      <c r="G954" s="6"/>
      <c r="I954" s="31"/>
      <c r="J954" s="8"/>
      <c r="K954" s="9"/>
    </row>
    <row r="955" spans="1:11">
      <c r="A955" s="15"/>
      <c r="B955" s="6"/>
      <c r="C955" s="30"/>
      <c r="D955" s="11"/>
      <c r="E955" s="5"/>
      <c r="F955" s="6"/>
      <c r="G955" s="6"/>
      <c r="I955" s="31"/>
      <c r="J955" s="8"/>
      <c r="K955" s="9"/>
    </row>
    <row r="956" spans="1:11">
      <c r="A956" s="15"/>
      <c r="B956" s="6"/>
      <c r="C956" s="30"/>
      <c r="D956" s="11"/>
      <c r="E956" s="5"/>
      <c r="F956" s="6"/>
      <c r="G956" s="6"/>
      <c r="I956" s="31"/>
      <c r="J956" s="8"/>
      <c r="K956" s="9"/>
    </row>
    <row r="957" spans="1:11">
      <c r="A957" s="15"/>
      <c r="B957" s="6"/>
      <c r="C957" s="30"/>
      <c r="D957" s="11"/>
      <c r="E957" s="5"/>
      <c r="F957" s="6"/>
      <c r="G957" s="6"/>
      <c r="I957" s="31"/>
      <c r="J957" s="8"/>
      <c r="K957" s="9"/>
    </row>
    <row r="958" spans="1:11">
      <c r="A958" s="15"/>
      <c r="B958" s="6"/>
      <c r="C958" s="30"/>
      <c r="D958" s="11"/>
      <c r="E958" s="5"/>
      <c r="F958" s="6"/>
      <c r="G958" s="6"/>
      <c r="I958" s="31"/>
      <c r="J958" s="8"/>
      <c r="K958" s="9"/>
    </row>
    <row r="959" spans="1:11">
      <c r="A959" s="15"/>
      <c r="B959" s="6"/>
      <c r="C959" s="30"/>
      <c r="D959" s="11"/>
      <c r="E959" s="5"/>
      <c r="F959" s="6"/>
      <c r="G959" s="6"/>
      <c r="I959" s="31"/>
      <c r="J959" s="8"/>
      <c r="K959" s="9"/>
    </row>
    <row r="960" spans="1:11">
      <c r="A960" s="15"/>
      <c r="B960" s="6"/>
      <c r="C960" s="30"/>
      <c r="D960" s="11"/>
      <c r="E960" s="5"/>
      <c r="F960" s="6"/>
      <c r="G960" s="6"/>
      <c r="I960" s="31"/>
      <c r="J960" s="8"/>
      <c r="K960" s="9"/>
    </row>
    <row r="961" spans="1:11">
      <c r="A961" s="15"/>
      <c r="B961" s="6"/>
      <c r="C961" s="30"/>
      <c r="D961" s="11"/>
      <c r="E961" s="5"/>
      <c r="F961" s="6"/>
      <c r="G961" s="6"/>
      <c r="I961" s="31"/>
      <c r="J961" s="8"/>
      <c r="K961" s="9"/>
    </row>
    <row r="962" spans="1:11">
      <c r="A962" s="15"/>
      <c r="B962" s="6"/>
      <c r="C962" s="30"/>
      <c r="D962" s="11"/>
      <c r="E962" s="5"/>
      <c r="F962" s="6"/>
      <c r="G962" s="6"/>
      <c r="I962" s="31"/>
      <c r="J962" s="8"/>
      <c r="K962" s="9"/>
    </row>
    <row r="963" spans="1:11">
      <c r="A963" s="15"/>
      <c r="B963" s="6"/>
      <c r="C963" s="30"/>
      <c r="D963" s="11"/>
      <c r="E963" s="5"/>
      <c r="F963" s="6"/>
      <c r="G963" s="6"/>
      <c r="I963" s="31"/>
      <c r="J963" s="8"/>
      <c r="K963" s="9"/>
    </row>
    <row r="964" spans="1:11">
      <c r="A964" s="15"/>
      <c r="B964" s="6"/>
      <c r="C964" s="30"/>
      <c r="D964" s="11"/>
      <c r="E964" s="5"/>
      <c r="F964" s="6"/>
      <c r="G964" s="6"/>
      <c r="I964" s="31"/>
      <c r="J964" s="8"/>
      <c r="K964" s="9"/>
    </row>
    <row r="965" spans="1:11">
      <c r="A965" s="15"/>
      <c r="B965" s="6"/>
      <c r="C965" s="30"/>
      <c r="D965" s="11"/>
      <c r="E965" s="5"/>
      <c r="F965" s="6"/>
      <c r="G965" s="6"/>
      <c r="I965" s="31"/>
      <c r="J965" s="8"/>
      <c r="K965" s="9"/>
    </row>
    <row r="966" spans="1:11">
      <c r="A966" s="15"/>
      <c r="B966" s="6"/>
      <c r="C966" s="30"/>
      <c r="D966" s="11"/>
      <c r="E966" s="5"/>
      <c r="F966" s="6"/>
      <c r="G966" s="6"/>
      <c r="I966" s="31"/>
      <c r="J966" s="8"/>
      <c r="K966" s="9"/>
    </row>
    <row r="967" spans="1:11">
      <c r="A967" s="15"/>
      <c r="B967" s="6"/>
      <c r="C967" s="30"/>
      <c r="D967" s="11"/>
      <c r="E967" s="5"/>
      <c r="F967" s="6"/>
      <c r="G967" s="6"/>
      <c r="I967" s="31"/>
      <c r="J967" s="8"/>
      <c r="K967" s="9"/>
    </row>
    <row r="968" spans="1:11">
      <c r="A968" s="15"/>
      <c r="B968" s="6"/>
      <c r="C968" s="30"/>
      <c r="D968" s="11"/>
      <c r="E968" s="5"/>
      <c r="F968" s="6"/>
      <c r="G968" s="6"/>
      <c r="I968" s="31"/>
      <c r="J968" s="8"/>
      <c r="K968" s="9"/>
    </row>
    <row r="969" spans="1:11">
      <c r="A969" s="15"/>
      <c r="B969" s="6"/>
      <c r="C969" s="30"/>
      <c r="D969" s="11"/>
      <c r="E969" s="5"/>
      <c r="F969" s="6"/>
      <c r="G969" s="6"/>
      <c r="I969" s="31"/>
      <c r="J969" s="8"/>
      <c r="K969" s="9"/>
    </row>
    <row r="970" spans="1:11">
      <c r="A970" s="15"/>
      <c r="B970" s="6"/>
      <c r="C970" s="30"/>
      <c r="D970" s="11"/>
      <c r="E970" s="5"/>
      <c r="F970" s="6"/>
      <c r="G970" s="6"/>
      <c r="I970" s="31"/>
      <c r="J970" s="8"/>
      <c r="K970" s="9"/>
    </row>
    <row r="971" spans="1:11">
      <c r="A971" s="15"/>
      <c r="B971" s="6"/>
      <c r="C971" s="30"/>
      <c r="D971" s="11"/>
      <c r="E971" s="5"/>
      <c r="F971" s="6"/>
      <c r="G971" s="6"/>
      <c r="I971" s="31"/>
      <c r="J971" s="8"/>
      <c r="K971" s="9"/>
    </row>
    <row r="972" spans="1:11">
      <c r="A972" s="15"/>
      <c r="B972" s="6"/>
      <c r="C972" s="30"/>
      <c r="D972" s="11"/>
      <c r="E972" s="5"/>
      <c r="F972" s="6"/>
      <c r="G972" s="6"/>
      <c r="I972" s="31"/>
      <c r="J972" s="8"/>
      <c r="K972" s="9"/>
    </row>
    <row r="973" spans="1:11">
      <c r="A973" s="15"/>
      <c r="B973" s="6"/>
      <c r="C973" s="30"/>
      <c r="D973" s="11"/>
      <c r="E973" s="5"/>
      <c r="F973" s="6"/>
      <c r="G973" s="6"/>
      <c r="I973" s="31"/>
      <c r="J973" s="8"/>
      <c r="K973" s="9"/>
    </row>
    <row r="974" spans="1:11">
      <c r="A974" s="15"/>
      <c r="B974" s="6"/>
      <c r="C974" s="30"/>
      <c r="D974" s="11"/>
      <c r="E974" s="5"/>
      <c r="F974" s="6"/>
      <c r="G974" s="6"/>
      <c r="I974" s="31"/>
      <c r="J974" s="8"/>
      <c r="K974" s="9"/>
    </row>
    <row r="975" spans="1:11">
      <c r="A975" s="15"/>
      <c r="B975" s="6"/>
      <c r="C975" s="30"/>
      <c r="D975" s="11"/>
      <c r="E975" s="5"/>
      <c r="F975" s="6"/>
      <c r="G975" s="6"/>
      <c r="I975" s="31"/>
      <c r="J975" s="8"/>
      <c r="K975" s="9"/>
    </row>
    <row r="976" spans="1:11">
      <c r="A976" s="15"/>
      <c r="B976" s="6"/>
      <c r="C976" s="30"/>
      <c r="D976" s="11"/>
      <c r="E976" s="5"/>
      <c r="F976" s="6"/>
      <c r="G976" s="6"/>
      <c r="I976" s="31"/>
      <c r="J976" s="8"/>
      <c r="K976" s="9"/>
    </row>
    <row r="977" spans="1:11">
      <c r="A977" s="15"/>
      <c r="B977" s="6"/>
      <c r="C977" s="30"/>
      <c r="D977" s="11"/>
      <c r="E977" s="5"/>
      <c r="F977" s="6"/>
      <c r="G977" s="6"/>
      <c r="I977" s="31"/>
      <c r="J977" s="8"/>
      <c r="K977" s="9"/>
    </row>
    <row r="978" spans="1:11">
      <c r="A978" s="15"/>
      <c r="B978" s="6"/>
      <c r="C978" s="30"/>
      <c r="D978" s="11"/>
      <c r="E978" s="5"/>
      <c r="F978" s="6"/>
      <c r="G978" s="6"/>
      <c r="I978" s="31"/>
      <c r="J978" s="8"/>
      <c r="K978" s="9"/>
    </row>
    <row r="979" spans="1:11">
      <c r="A979" s="15"/>
      <c r="B979" s="6"/>
      <c r="C979" s="30"/>
      <c r="D979" s="11"/>
      <c r="E979" s="5"/>
      <c r="F979" s="6"/>
      <c r="G979" s="6"/>
      <c r="I979" s="31"/>
      <c r="J979" s="8"/>
      <c r="K979" s="9"/>
    </row>
    <row r="980" spans="1:11">
      <c r="A980" s="15"/>
      <c r="B980" s="6"/>
      <c r="C980" s="30"/>
      <c r="D980" s="11"/>
      <c r="E980" s="5"/>
      <c r="F980" s="6"/>
      <c r="G980" s="6"/>
      <c r="I980" s="31"/>
      <c r="J980" s="8"/>
      <c r="K980" s="9"/>
    </row>
    <row r="981" spans="1:11">
      <c r="A981" s="15"/>
      <c r="B981" s="6"/>
      <c r="C981" s="30"/>
      <c r="D981" s="11"/>
      <c r="E981" s="5"/>
      <c r="F981" s="6"/>
      <c r="G981" s="6"/>
      <c r="I981" s="31"/>
      <c r="J981" s="8"/>
      <c r="K981" s="9"/>
    </row>
    <row r="982" spans="1:11">
      <c r="A982" s="15"/>
      <c r="B982" s="6"/>
      <c r="C982" s="30"/>
      <c r="D982" s="11"/>
      <c r="E982" s="5"/>
      <c r="F982" s="6"/>
      <c r="G982" s="6"/>
      <c r="I982" s="31"/>
      <c r="J982" s="8"/>
      <c r="K982" s="9"/>
    </row>
    <row r="983" spans="1:11">
      <c r="A983" s="15"/>
      <c r="B983" s="6"/>
      <c r="C983" s="30"/>
      <c r="D983" s="11"/>
      <c r="E983" s="5"/>
      <c r="F983" s="6"/>
      <c r="G983" s="6"/>
      <c r="I983" s="31"/>
      <c r="J983" s="8"/>
      <c r="K983" s="9"/>
    </row>
    <row r="984" spans="1:11">
      <c r="A984" s="15"/>
      <c r="B984" s="6"/>
      <c r="C984" s="30"/>
      <c r="D984" s="11"/>
      <c r="E984" s="5"/>
      <c r="F984" s="6"/>
      <c r="G984" s="6"/>
      <c r="I984" s="31"/>
      <c r="J984" s="8"/>
      <c r="K984" s="9"/>
    </row>
    <row r="985" spans="1:11">
      <c r="A985" s="15"/>
      <c r="B985" s="6"/>
      <c r="C985" s="30"/>
      <c r="D985" s="11"/>
      <c r="E985" s="5"/>
      <c r="F985" s="6"/>
      <c r="G985" s="6"/>
      <c r="I985" s="31"/>
      <c r="J985" s="8"/>
      <c r="K985" s="9"/>
    </row>
    <row r="986" spans="1:11">
      <c r="A986" s="15"/>
      <c r="B986" s="6"/>
      <c r="C986" s="30"/>
      <c r="D986" s="11"/>
      <c r="E986" s="5"/>
      <c r="F986" s="6"/>
      <c r="G986" s="6"/>
      <c r="I986" s="31"/>
      <c r="J986" s="8"/>
      <c r="K986" s="9"/>
    </row>
    <row r="987" spans="1:11">
      <c r="A987" s="15"/>
      <c r="B987" s="6"/>
      <c r="C987" s="30"/>
      <c r="D987" s="11"/>
      <c r="E987" s="5"/>
      <c r="F987" s="6"/>
      <c r="G987" s="6"/>
      <c r="I987" s="31"/>
      <c r="J987" s="8"/>
      <c r="K987" s="9"/>
    </row>
    <row r="988" spans="1:11">
      <c r="A988" s="15"/>
      <c r="B988" s="6"/>
      <c r="C988" s="30"/>
      <c r="D988" s="11"/>
      <c r="E988" s="5"/>
      <c r="F988" s="6"/>
      <c r="G988" s="6"/>
      <c r="I988" s="31"/>
      <c r="J988" s="8"/>
      <c r="K988" s="9"/>
    </row>
    <row r="989" spans="1:11">
      <c r="A989" s="15"/>
      <c r="B989" s="6"/>
      <c r="C989" s="30"/>
      <c r="D989" s="11"/>
      <c r="E989" s="5"/>
      <c r="F989" s="6"/>
      <c r="G989" s="6"/>
      <c r="I989" s="31"/>
      <c r="J989" s="8"/>
      <c r="K989" s="9"/>
    </row>
    <row r="990" spans="1:11">
      <c r="A990" s="15"/>
      <c r="B990" s="6"/>
      <c r="C990" s="30"/>
      <c r="D990" s="11"/>
      <c r="E990" s="5"/>
      <c r="F990" s="6"/>
      <c r="G990" s="6"/>
      <c r="I990" s="31"/>
      <c r="J990" s="8"/>
      <c r="K990" s="9"/>
    </row>
    <row r="991" spans="1:11">
      <c r="A991" s="15"/>
      <c r="B991" s="6"/>
      <c r="C991" s="30"/>
      <c r="D991" s="11"/>
      <c r="E991" s="5"/>
      <c r="F991" s="6"/>
      <c r="G991" s="6"/>
      <c r="I991" s="31"/>
      <c r="J991" s="8"/>
      <c r="K991" s="9"/>
    </row>
    <row r="992" spans="1:11">
      <c r="A992" s="15"/>
      <c r="B992" s="6"/>
      <c r="C992" s="30"/>
      <c r="D992" s="11"/>
      <c r="E992" s="5"/>
      <c r="F992" s="6"/>
      <c r="G992" s="6"/>
      <c r="I992" s="31"/>
      <c r="J992" s="8"/>
      <c r="K992" s="9"/>
    </row>
    <row r="993" spans="1:11">
      <c r="A993" s="15"/>
      <c r="B993" s="6"/>
      <c r="C993" s="30"/>
      <c r="D993" s="11"/>
      <c r="E993" s="5"/>
      <c r="F993" s="6"/>
      <c r="G993" s="6"/>
      <c r="I993" s="31"/>
      <c r="J993" s="8"/>
      <c r="K993" s="9"/>
    </row>
    <row r="994" spans="1:11">
      <c r="A994" s="15"/>
      <c r="B994" s="6"/>
      <c r="C994" s="30"/>
      <c r="D994" s="11"/>
      <c r="E994" s="5"/>
      <c r="F994" s="6"/>
      <c r="G994" s="6"/>
      <c r="I994" s="31"/>
      <c r="J994" s="8"/>
      <c r="K994" s="9"/>
    </row>
    <row r="995" spans="1:11">
      <c r="A995" s="15"/>
      <c r="B995" s="6"/>
      <c r="C995" s="30"/>
      <c r="D995" s="11"/>
      <c r="E995" s="5"/>
      <c r="F995" s="6"/>
      <c r="G995" s="6"/>
      <c r="I995" s="31"/>
      <c r="J995" s="8"/>
      <c r="K995" s="9"/>
    </row>
    <row r="996" spans="1:11">
      <c r="A996" s="15"/>
      <c r="B996" s="6"/>
      <c r="C996" s="30"/>
      <c r="D996" s="11"/>
      <c r="E996" s="5"/>
      <c r="F996" s="6"/>
      <c r="G996" s="6"/>
      <c r="I996" s="31"/>
      <c r="J996" s="8"/>
      <c r="K996" s="9"/>
    </row>
    <row r="997" spans="1:11">
      <c r="A997" s="15"/>
      <c r="B997" s="6"/>
      <c r="C997" s="30"/>
      <c r="D997" s="11"/>
      <c r="E997" s="5"/>
      <c r="F997" s="6"/>
      <c r="G997" s="6"/>
      <c r="I997" s="31"/>
      <c r="J997" s="8"/>
      <c r="K997" s="9"/>
    </row>
    <row r="998" spans="1:11">
      <c r="A998" s="15"/>
      <c r="B998" s="6"/>
      <c r="C998" s="30"/>
      <c r="D998" s="11"/>
      <c r="E998" s="5"/>
      <c r="F998" s="6"/>
      <c r="G998" s="6"/>
      <c r="I998" s="31"/>
      <c r="J998" s="8"/>
      <c r="K998" s="9"/>
    </row>
    <row r="999" spans="1:11">
      <c r="A999" s="15"/>
      <c r="B999" s="6"/>
      <c r="C999" s="30"/>
      <c r="D999" s="11"/>
      <c r="E999" s="5"/>
      <c r="F999" s="6"/>
      <c r="G999" s="6"/>
      <c r="I999" s="31"/>
      <c r="J999" s="8"/>
      <c r="K999" s="9"/>
    </row>
    <row r="1000" spans="1:11">
      <c r="A1000" s="15"/>
      <c r="B1000" s="6"/>
      <c r="C1000" s="30"/>
      <c r="D1000" s="11"/>
      <c r="E1000" s="5"/>
      <c r="F1000" s="6"/>
      <c r="G1000" s="6"/>
      <c r="I1000" s="31"/>
      <c r="J1000" s="8"/>
      <c r="K1000" s="9"/>
    </row>
    <row r="1001" spans="1:11">
      <c r="A1001" s="15"/>
      <c r="B1001" s="6"/>
      <c r="C1001" s="30"/>
      <c r="D1001" s="11"/>
      <c r="E1001" s="5"/>
      <c r="F1001" s="6"/>
      <c r="G1001" s="6"/>
      <c r="I1001" s="31"/>
      <c r="J1001" s="8"/>
      <c r="K1001" s="9"/>
    </row>
    <row r="1002" spans="1:11">
      <c r="A1002" s="15"/>
      <c r="B1002" s="6"/>
      <c r="C1002" s="30"/>
      <c r="D1002" s="11"/>
      <c r="E1002" s="5"/>
      <c r="F1002" s="6"/>
      <c r="G1002" s="6"/>
      <c r="I1002" s="31"/>
      <c r="J1002" s="8"/>
      <c r="K1002" s="9"/>
    </row>
    <row r="1003" spans="1:11">
      <c r="A1003" s="15"/>
      <c r="B1003" s="6"/>
      <c r="C1003" s="30"/>
      <c r="D1003" s="11"/>
      <c r="E1003" s="5"/>
      <c r="F1003" s="6"/>
      <c r="G1003" s="6"/>
      <c r="I1003" s="31"/>
      <c r="J1003" s="8"/>
      <c r="K1003" s="9"/>
    </row>
    <row r="1004" spans="1:11">
      <c r="A1004" s="15"/>
      <c r="B1004" s="6"/>
      <c r="C1004" s="30"/>
      <c r="D1004" s="11"/>
      <c r="E1004" s="5"/>
      <c r="F1004" s="6"/>
      <c r="G1004" s="6"/>
      <c r="I1004" s="31"/>
      <c r="J1004" s="8"/>
      <c r="K1004" s="9"/>
    </row>
    <row r="1005" spans="1:11">
      <c r="A1005" s="15"/>
      <c r="B1005" s="6"/>
      <c r="C1005" s="30"/>
      <c r="D1005" s="11"/>
      <c r="E1005" s="5"/>
      <c r="F1005" s="6"/>
      <c r="G1005" s="6"/>
      <c r="I1005" s="31"/>
      <c r="J1005" s="8"/>
      <c r="K1005" s="9"/>
    </row>
    <row r="1006" spans="1:11">
      <c r="A1006" s="15"/>
      <c r="B1006" s="6"/>
      <c r="C1006" s="30"/>
      <c r="D1006" s="11"/>
      <c r="E1006" s="5"/>
      <c r="F1006" s="6"/>
      <c r="G1006" s="6"/>
      <c r="I1006" s="31"/>
      <c r="J1006" s="8"/>
      <c r="K1006" s="9"/>
    </row>
    <row r="1007" spans="1:11">
      <c r="A1007" s="15"/>
      <c r="B1007" s="6"/>
      <c r="C1007" s="30"/>
      <c r="D1007" s="11"/>
      <c r="E1007" s="5"/>
      <c r="F1007" s="6"/>
      <c r="G1007" s="6"/>
      <c r="I1007" s="31"/>
      <c r="J1007" s="8"/>
      <c r="K1007" s="9"/>
    </row>
    <row r="1008" spans="1:11">
      <c r="A1008" s="15"/>
      <c r="B1008" s="6"/>
      <c r="C1008" s="30"/>
      <c r="D1008" s="11"/>
      <c r="E1008" s="5"/>
      <c r="F1008" s="6"/>
      <c r="G1008" s="6"/>
      <c r="I1008" s="31"/>
      <c r="J1008" s="8"/>
      <c r="K1008" s="9"/>
    </row>
    <row r="1009" spans="1:11">
      <c r="A1009" s="15"/>
      <c r="B1009" s="6"/>
      <c r="C1009" s="30"/>
      <c r="D1009" s="11"/>
      <c r="E1009" s="5"/>
      <c r="F1009" s="6"/>
      <c r="G1009" s="6"/>
      <c r="I1009" s="31"/>
      <c r="J1009" s="8"/>
      <c r="K1009" s="9"/>
    </row>
    <row r="1010" spans="1:11">
      <c r="A1010" s="15"/>
      <c r="B1010" s="6"/>
      <c r="C1010" s="30"/>
      <c r="D1010" s="11"/>
      <c r="E1010" s="5"/>
      <c r="F1010" s="6"/>
      <c r="G1010" s="6"/>
      <c r="I1010" s="31"/>
      <c r="J1010" s="8"/>
      <c r="K1010" s="9"/>
    </row>
    <row r="1011" spans="1:11">
      <c r="A1011" s="15"/>
      <c r="B1011" s="6"/>
      <c r="C1011" s="30"/>
      <c r="D1011" s="11"/>
      <c r="E1011" s="5"/>
      <c r="F1011" s="6"/>
      <c r="G1011" s="6"/>
      <c r="I1011" s="31"/>
      <c r="J1011" s="8"/>
      <c r="K1011" s="9"/>
    </row>
    <row r="1012" spans="1:11">
      <c r="A1012" s="15"/>
      <c r="B1012" s="6"/>
      <c r="C1012" s="30"/>
      <c r="D1012" s="11"/>
      <c r="E1012" s="5"/>
      <c r="F1012" s="6"/>
      <c r="G1012" s="6"/>
      <c r="I1012" s="31"/>
      <c r="J1012" s="8"/>
      <c r="K1012" s="9"/>
    </row>
    <row r="1013" spans="1:11">
      <c r="A1013" s="15"/>
      <c r="B1013" s="6"/>
      <c r="C1013" s="30"/>
      <c r="D1013" s="11"/>
      <c r="E1013" s="5"/>
      <c r="F1013" s="6"/>
      <c r="G1013" s="6"/>
      <c r="I1013" s="31"/>
      <c r="J1013" s="8"/>
      <c r="K1013" s="9"/>
    </row>
    <row r="1014" spans="1:11">
      <c r="A1014" s="15"/>
      <c r="B1014" s="6"/>
      <c r="C1014" s="30"/>
      <c r="D1014" s="11"/>
      <c r="E1014" s="5"/>
      <c r="F1014" s="6"/>
      <c r="G1014" s="6"/>
      <c r="I1014" s="31"/>
      <c r="J1014" s="8"/>
      <c r="K1014" s="9"/>
    </row>
    <row r="1015" spans="1:11">
      <c r="A1015" s="15"/>
      <c r="B1015" s="6"/>
      <c r="C1015" s="30"/>
      <c r="D1015" s="11"/>
      <c r="E1015" s="5"/>
      <c r="F1015" s="6"/>
      <c r="G1015" s="6"/>
      <c r="I1015" s="31"/>
      <c r="J1015" s="8"/>
      <c r="K1015" s="9"/>
    </row>
    <row r="1016" spans="1:11">
      <c r="A1016" s="15"/>
      <c r="B1016" s="6"/>
      <c r="C1016" s="30"/>
      <c r="D1016" s="11"/>
      <c r="E1016" s="5"/>
      <c r="F1016" s="6"/>
      <c r="G1016" s="6"/>
      <c r="I1016" s="31"/>
      <c r="J1016" s="8"/>
      <c r="K1016" s="9"/>
    </row>
    <row r="1017" spans="1:11">
      <c r="A1017" s="15"/>
      <c r="B1017" s="6"/>
      <c r="C1017" s="30"/>
      <c r="D1017" s="11"/>
      <c r="E1017" s="5"/>
      <c r="F1017" s="6"/>
      <c r="G1017" s="6"/>
      <c r="I1017" s="31"/>
      <c r="J1017" s="8"/>
      <c r="K1017" s="9"/>
    </row>
    <row r="1018" spans="1:11">
      <c r="A1018" s="15"/>
      <c r="B1018" s="6"/>
      <c r="C1018" s="30"/>
      <c r="D1018" s="11"/>
      <c r="E1018" s="5"/>
      <c r="F1018" s="6"/>
      <c r="G1018" s="6"/>
      <c r="I1018" s="31"/>
      <c r="J1018" s="8"/>
      <c r="K1018" s="9"/>
    </row>
    <row r="1019" spans="1:11">
      <c r="A1019" s="15"/>
      <c r="B1019" s="6"/>
      <c r="C1019" s="30"/>
      <c r="D1019" s="11"/>
      <c r="E1019" s="5"/>
      <c r="F1019" s="6"/>
      <c r="G1019" s="6"/>
      <c r="I1019" s="31"/>
      <c r="J1019" s="8"/>
      <c r="K1019" s="9"/>
    </row>
    <row r="1020" spans="1:11">
      <c r="A1020" s="15"/>
      <c r="B1020" s="6"/>
      <c r="C1020" s="30"/>
      <c r="D1020" s="11"/>
      <c r="E1020" s="5"/>
      <c r="F1020" s="6"/>
      <c r="G1020" s="6"/>
      <c r="I1020" s="31"/>
      <c r="J1020" s="8"/>
      <c r="K1020" s="9"/>
    </row>
    <row r="1021" spans="1:11">
      <c r="A1021" s="15"/>
      <c r="B1021" s="6"/>
      <c r="C1021" s="30"/>
      <c r="D1021" s="11"/>
      <c r="E1021" s="5"/>
      <c r="F1021" s="6"/>
      <c r="G1021" s="6"/>
      <c r="I1021" s="31"/>
      <c r="J1021" s="8"/>
      <c r="K1021" s="9"/>
    </row>
    <row r="1022" spans="1:11">
      <c r="A1022" s="15"/>
      <c r="B1022" s="6"/>
      <c r="C1022" s="30"/>
      <c r="D1022" s="11"/>
      <c r="E1022" s="5"/>
      <c r="F1022" s="6"/>
      <c r="G1022" s="6"/>
      <c r="I1022" s="31"/>
      <c r="J1022" s="8"/>
      <c r="K1022" s="9"/>
    </row>
    <row r="1023" spans="1:11">
      <c r="A1023" s="15"/>
      <c r="B1023" s="6"/>
      <c r="C1023" s="30"/>
      <c r="D1023" s="11"/>
      <c r="E1023" s="5"/>
      <c r="F1023" s="6"/>
      <c r="G1023" s="6"/>
      <c r="I1023" s="31"/>
      <c r="J1023" s="8"/>
      <c r="K1023" s="9"/>
    </row>
    <row r="1024" spans="1:11">
      <c r="A1024" s="15"/>
      <c r="B1024" s="6"/>
      <c r="C1024" s="30"/>
      <c r="D1024" s="11"/>
      <c r="E1024" s="5"/>
      <c r="F1024" s="6"/>
      <c r="G1024" s="6"/>
      <c r="I1024" s="31"/>
      <c r="J1024" s="8"/>
      <c r="K1024" s="9"/>
    </row>
    <row r="1025" spans="1:11">
      <c r="A1025" s="21"/>
      <c r="B1025" s="6"/>
      <c r="C1025" s="10"/>
      <c r="D1025" s="11"/>
      <c r="E1025" s="5"/>
      <c r="F1025" s="6"/>
      <c r="G1025" s="6"/>
      <c r="I1025" s="7"/>
      <c r="J1025" s="8"/>
      <c r="K1025" s="28"/>
    </row>
    <row r="1026" spans="1:11">
      <c r="C1026" s="34"/>
    </row>
    <row r="1027" spans="1:11">
      <c r="E1027" s="38" t="s">
        <v>417</v>
      </c>
    </row>
  </sheetData>
  <mergeCells count="1">
    <mergeCell ref="A1:B1"/>
  </mergeCells>
  <conditionalFormatting sqref="C90:C95">
    <cfRule type="timePeriod" dxfId="14" priority="171" timePeriod="yesterday">
      <formula>FLOOR(C90,1)=TODAY()-1</formula>
    </cfRule>
  </conditionalFormatting>
  <conditionalFormatting sqref="C122:C178 C180:C184">
    <cfRule type="timePeriod" dxfId="13" priority="55" timePeriod="yesterday">
      <formula>FLOOR(C122,1)=TODAY()-1</formula>
    </cfRule>
  </conditionalFormatting>
  <conditionalFormatting sqref="C86:D89 C100">
    <cfRule type="timePeriod" dxfId="12" priority="220" timePeriod="yesterday">
      <formula>FLOOR(C86,1)=TODAY()-1</formula>
    </cfRule>
  </conditionalFormatting>
  <conditionalFormatting sqref="J3:J1025">
    <cfRule type="cellIs" dxfId="11" priority="1" operator="equal">
      <formula>"CANCELADO"</formula>
    </cfRule>
    <cfRule type="cellIs" dxfId="10" priority="2" operator="equal">
      <formula>"EM ESTUDO"</formula>
    </cfRule>
    <cfRule type="cellIs" dxfId="9" priority="3" operator="equal">
      <formula>"A INICIAR"</formula>
    </cfRule>
    <cfRule type="cellIs" dxfId="8" priority="4" operator="equal">
      <formula>"ATRASADO"</formula>
    </cfRule>
    <cfRule type="cellIs" dxfId="7" priority="5" operator="equal">
      <formula>"ANDAMENTO"</formula>
    </cfRule>
    <cfRule type="cellIs" dxfId="6" priority="6" operator="equal">
      <formula>"CONCLUÍDO"</formula>
    </cfRule>
  </conditionalFormatting>
  <dataValidations count="1">
    <dataValidation type="list" allowBlank="1" showInputMessage="1" showErrorMessage="1" sqref="J3:J72 J190:J1024 J99:J100 J103:J184 J85:J97" xr:uid="{E34D8389-4BDC-4851-A2AF-3F516FFAABF7}">
      <formula1>"CONCLUÍDO,ANDAMENTO,A INICIAR,EM ESTUDO,CANCELADO"</formula1>
    </dataValidation>
  </dataValidations>
  <hyperlinks>
    <hyperlink ref="E195" r:id="rId1" display="https://app.asana.com/1/1202089496430608/project/1213525400999146/task/1213561114184230" xr:uid="{29A4310C-CE2D-45A9-B05E-3F6DFECC2572}"/>
    <hyperlink ref="E201" r:id="rId2" display="https://app.asana.com/1/1202089496430608/project/1213401514823940/task/1213441711231106" xr:uid="{0B45B97F-0457-433F-A539-252FD7569292}"/>
    <hyperlink ref="E324" r:id="rId3" display="https://app.asana.com/1/1202089496430608/project/1209118798171970/task/1211302591910137" xr:uid="{44D991CC-10B0-449A-AD18-AD960C242098}"/>
    <hyperlink ref="E325" r:id="rId4" display="https://app.asana.com/1/1202089496430608/project/1209118798171970/task/1211302591910135" xr:uid="{146CA277-DFA7-4A19-945D-3B1F596691F2}"/>
    <hyperlink ref="E327" r:id="rId5" display="https://app.asana.com/1/1202089496430608/project/1209118798171970/task/1212717835730822" xr:uid="{57746009-AB2A-4E98-A68F-039456AE6EC0}"/>
  </hyperlinks>
  <pageMargins left="0.511811024" right="0.511811024" top="0.78740157499999996" bottom="0.78740157499999996" header="0.31496062000000002" footer="0.31496062000000002"/>
  <pageSetup paperSize="9" orientation="portrait" r:id="rId6"/>
  <drawing r:id="rId7"/>
  <legacyDrawing r:id="rId8"/>
  <tableParts count="1">
    <tablePart r:id="rId9"/>
  </tableParts>
  <extLst>
    <ext xmlns:x15="http://schemas.microsoft.com/office/spreadsheetml/2010/11/main" uri="{3A4CF648-6AED-40f4-86FF-DC5316D8AED3}">
      <x14:slicerList xmlns:x14="http://schemas.microsoft.com/office/spreadsheetml/2009/9/main">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83A4-CAA1-4E27-8639-18AE8A814F2B}">
  <sheetPr>
    <tabColor rgb="FF002060"/>
  </sheetPr>
  <dimension ref="A1:H20"/>
  <sheetViews>
    <sheetView showGridLines="0" workbookViewId="0">
      <selection activeCell="B1" sqref="B1:G1"/>
    </sheetView>
  </sheetViews>
  <sheetFormatPr defaultRowHeight="15"/>
  <cols>
    <col min="2" max="2" width="13.5703125" customWidth="1"/>
    <col min="3" max="3" width="21.140625" customWidth="1"/>
    <col min="4" max="4" width="85.28515625" customWidth="1"/>
    <col min="5" max="5" width="19.28515625" customWidth="1"/>
    <col min="6" max="6" width="14.7109375" customWidth="1"/>
    <col min="7" max="7" width="17.42578125" customWidth="1"/>
    <col min="8" max="8" width="33.42578125" customWidth="1"/>
  </cols>
  <sheetData>
    <row r="1" spans="1:8" ht="43.9" customHeight="1" thickBot="1">
      <c r="B1" s="40" t="s">
        <v>418</v>
      </c>
      <c r="C1" s="40"/>
      <c r="D1" s="40"/>
      <c r="E1" s="40"/>
      <c r="F1" s="40"/>
      <c r="G1" s="40"/>
    </row>
    <row r="2" spans="1:8" ht="19.899999999999999" customHeight="1">
      <c r="A2" s="2" t="s">
        <v>27</v>
      </c>
      <c r="B2" s="1" t="s">
        <v>28</v>
      </c>
      <c r="C2" s="2" t="s">
        <v>29</v>
      </c>
      <c r="D2" s="2" t="s">
        <v>3</v>
      </c>
      <c r="E2" s="2" t="s">
        <v>30</v>
      </c>
      <c r="F2" s="3" t="s">
        <v>419</v>
      </c>
      <c r="G2" s="2" t="s">
        <v>1</v>
      </c>
      <c r="H2" s="4" t="s">
        <v>34</v>
      </c>
    </row>
    <row r="3" spans="1:8" ht="127.5">
      <c r="A3" s="6">
        <v>1</v>
      </c>
      <c r="B3" s="10">
        <v>46204</v>
      </c>
      <c r="C3" s="11" t="s">
        <v>35</v>
      </c>
      <c r="D3" s="5" t="s">
        <v>36</v>
      </c>
      <c r="E3" s="6" t="s">
        <v>37</v>
      </c>
      <c r="F3" s="7">
        <v>46206</v>
      </c>
      <c r="G3" s="8" t="s">
        <v>5</v>
      </c>
      <c r="H3" s="9"/>
    </row>
    <row r="4" spans="1:8" ht="46.9" customHeight="1">
      <c r="A4" s="6">
        <f>A3+1</f>
        <v>2</v>
      </c>
      <c r="B4" s="10">
        <v>46204</v>
      </c>
      <c r="C4" s="11" t="s">
        <v>38</v>
      </c>
      <c r="D4" s="5" t="s">
        <v>420</v>
      </c>
      <c r="E4" s="6" t="s">
        <v>40</v>
      </c>
      <c r="F4" s="7">
        <v>46220</v>
      </c>
      <c r="G4" s="8" t="s">
        <v>4</v>
      </c>
      <c r="H4" s="9" t="s">
        <v>41</v>
      </c>
    </row>
    <row r="5" spans="1:8" ht="25.5">
      <c r="A5" s="6">
        <f t="shared" ref="A5:A20" si="0">A4+1</f>
        <v>3</v>
      </c>
      <c r="B5" s="10">
        <v>46204</v>
      </c>
      <c r="C5" s="11" t="s">
        <v>35</v>
      </c>
      <c r="D5" s="5" t="s">
        <v>42</v>
      </c>
      <c r="E5" s="6" t="s">
        <v>37</v>
      </c>
      <c r="F5" s="7">
        <v>46220</v>
      </c>
      <c r="G5" s="8" t="s">
        <v>4</v>
      </c>
      <c r="H5" s="9" t="s">
        <v>421</v>
      </c>
    </row>
    <row r="6" spans="1:8" ht="34.9" customHeight="1">
      <c r="A6" s="6">
        <f t="shared" si="0"/>
        <v>4</v>
      </c>
      <c r="B6" s="10">
        <v>46204</v>
      </c>
      <c r="C6" s="11" t="s">
        <v>35</v>
      </c>
      <c r="D6" s="5" t="s">
        <v>44</v>
      </c>
      <c r="E6" s="6" t="s">
        <v>37</v>
      </c>
      <c r="F6" s="7">
        <v>46220</v>
      </c>
      <c r="G6" s="8" t="s">
        <v>4</v>
      </c>
      <c r="H6" s="9" t="s">
        <v>421</v>
      </c>
    </row>
    <row r="7" spans="1:8" ht="39" customHeight="1">
      <c r="A7" s="6">
        <f t="shared" si="0"/>
        <v>5</v>
      </c>
      <c r="B7" s="10">
        <v>46204</v>
      </c>
      <c r="C7" s="11" t="s">
        <v>38</v>
      </c>
      <c r="D7" s="5" t="s">
        <v>45</v>
      </c>
      <c r="E7" s="6" t="s">
        <v>46</v>
      </c>
      <c r="F7" s="7">
        <v>46210</v>
      </c>
      <c r="G7" s="8" t="s">
        <v>4</v>
      </c>
      <c r="H7" s="9"/>
    </row>
    <row r="8" spans="1:8" ht="38.25">
      <c r="A8" s="6">
        <f t="shared" si="0"/>
        <v>6</v>
      </c>
      <c r="B8" s="10">
        <v>46204</v>
      </c>
      <c r="C8" s="11" t="s">
        <v>38</v>
      </c>
      <c r="D8" s="5" t="s">
        <v>47</v>
      </c>
      <c r="E8" s="6" t="s">
        <v>48</v>
      </c>
      <c r="F8" s="7">
        <v>46212</v>
      </c>
      <c r="G8" s="8" t="s">
        <v>4</v>
      </c>
      <c r="H8" s="9" t="s">
        <v>49</v>
      </c>
    </row>
    <row r="9" spans="1:8" ht="25.5">
      <c r="A9" s="6">
        <f t="shared" si="0"/>
        <v>7</v>
      </c>
      <c r="B9" s="10">
        <v>46204</v>
      </c>
      <c r="C9" s="11" t="s">
        <v>38</v>
      </c>
      <c r="D9" s="5" t="s">
        <v>50</v>
      </c>
      <c r="E9" s="6" t="s">
        <v>51</v>
      </c>
      <c r="F9" s="7">
        <v>46216</v>
      </c>
      <c r="G9" s="8" t="s">
        <v>4</v>
      </c>
      <c r="H9" s="9" t="s">
        <v>52</v>
      </c>
    </row>
    <row r="10" spans="1:8" ht="39.6" customHeight="1">
      <c r="A10" s="6">
        <f t="shared" si="0"/>
        <v>8</v>
      </c>
      <c r="B10" s="10">
        <v>46204</v>
      </c>
      <c r="C10" s="11" t="s">
        <v>38</v>
      </c>
      <c r="D10" s="5" t="s">
        <v>53</v>
      </c>
      <c r="E10" s="6" t="s">
        <v>51</v>
      </c>
      <c r="F10" s="7">
        <v>46210</v>
      </c>
      <c r="G10" s="8" t="s">
        <v>4</v>
      </c>
      <c r="H10" s="9"/>
    </row>
    <row r="11" spans="1:8" ht="33" customHeight="1">
      <c r="A11" s="6">
        <f t="shared" si="0"/>
        <v>9</v>
      </c>
      <c r="B11" s="10">
        <v>46204</v>
      </c>
      <c r="C11" s="11" t="s">
        <v>38</v>
      </c>
      <c r="D11" s="5" t="s">
        <v>55</v>
      </c>
      <c r="E11" s="6" t="s">
        <v>56</v>
      </c>
      <c r="F11" s="7">
        <v>46210</v>
      </c>
      <c r="G11" s="8" t="s">
        <v>4</v>
      </c>
      <c r="H11" s="9"/>
    </row>
    <row r="12" spans="1:8" ht="32.450000000000003" customHeight="1">
      <c r="A12" s="6">
        <f t="shared" si="0"/>
        <v>10</v>
      </c>
      <c r="B12" s="10">
        <v>46204</v>
      </c>
      <c r="C12" s="11" t="s">
        <v>38</v>
      </c>
      <c r="D12" s="5" t="s">
        <v>57</v>
      </c>
      <c r="E12" s="6" t="s">
        <v>51</v>
      </c>
      <c r="F12" s="7">
        <v>46233</v>
      </c>
      <c r="G12" s="8" t="s">
        <v>4</v>
      </c>
      <c r="H12" s="9" t="s">
        <v>58</v>
      </c>
    </row>
    <row r="13" spans="1:8" ht="25.5">
      <c r="A13" s="6">
        <f t="shared" si="0"/>
        <v>11</v>
      </c>
      <c r="B13" s="10">
        <v>46204</v>
      </c>
      <c r="C13" s="11" t="s">
        <v>38</v>
      </c>
      <c r="D13" s="5" t="s">
        <v>59</v>
      </c>
      <c r="E13" s="6" t="s">
        <v>51</v>
      </c>
      <c r="F13" s="7">
        <v>46218</v>
      </c>
      <c r="G13" s="8" t="s">
        <v>4</v>
      </c>
      <c r="H13" s="9"/>
    </row>
    <row r="14" spans="1:8" ht="25.15" customHeight="1">
      <c r="A14" s="6">
        <f t="shared" si="0"/>
        <v>12</v>
      </c>
      <c r="B14" s="10">
        <v>46204</v>
      </c>
      <c r="C14" s="11" t="s">
        <v>38</v>
      </c>
      <c r="D14" s="5" t="s">
        <v>60</v>
      </c>
      <c r="E14" s="6" t="s">
        <v>61</v>
      </c>
      <c r="F14" s="7">
        <v>46223</v>
      </c>
      <c r="G14" s="8" t="s">
        <v>4</v>
      </c>
      <c r="H14" s="9"/>
    </row>
    <row r="15" spans="1:8" ht="51" customHeight="1">
      <c r="A15" s="6">
        <f t="shared" si="0"/>
        <v>13</v>
      </c>
      <c r="B15" s="10">
        <v>46204</v>
      </c>
      <c r="C15" s="11" t="s">
        <v>38</v>
      </c>
      <c r="D15" s="5" t="s">
        <v>62</v>
      </c>
      <c r="E15" s="6" t="s">
        <v>63</v>
      </c>
      <c r="F15" s="7">
        <v>46182</v>
      </c>
      <c r="G15" s="8" t="s">
        <v>4</v>
      </c>
      <c r="H15" s="9"/>
    </row>
    <row r="16" spans="1:8" ht="30.6" customHeight="1">
      <c r="A16" s="6">
        <f t="shared" si="0"/>
        <v>14</v>
      </c>
      <c r="B16" s="10">
        <v>46204</v>
      </c>
      <c r="C16" s="11" t="s">
        <v>38</v>
      </c>
      <c r="D16" s="5" t="s">
        <v>65</v>
      </c>
      <c r="E16" s="6" t="s">
        <v>51</v>
      </c>
      <c r="F16" s="7">
        <v>46212</v>
      </c>
      <c r="G16" s="8" t="s">
        <v>4</v>
      </c>
      <c r="H16" s="9"/>
    </row>
    <row r="17" spans="1:8" ht="45" customHeight="1">
      <c r="A17" s="6">
        <f t="shared" si="0"/>
        <v>15</v>
      </c>
      <c r="B17" s="10">
        <v>46204</v>
      </c>
      <c r="C17" s="11" t="s">
        <v>38</v>
      </c>
      <c r="D17" s="5" t="s">
        <v>66</v>
      </c>
      <c r="E17" s="6" t="s">
        <v>51</v>
      </c>
      <c r="F17" s="7">
        <v>46211</v>
      </c>
      <c r="G17" s="8" t="s">
        <v>4</v>
      </c>
      <c r="H17" s="9"/>
    </row>
    <row r="18" spans="1:8" ht="37.9" customHeight="1">
      <c r="A18" s="6">
        <f t="shared" si="0"/>
        <v>16</v>
      </c>
      <c r="B18" s="10">
        <v>46204</v>
      </c>
      <c r="C18" s="11" t="s">
        <v>38</v>
      </c>
      <c r="D18" s="5" t="s">
        <v>67</v>
      </c>
      <c r="E18" s="6" t="s">
        <v>51</v>
      </c>
      <c r="F18" s="7">
        <v>46212</v>
      </c>
      <c r="G18" s="8" t="s">
        <v>4</v>
      </c>
      <c r="H18" s="9"/>
    </row>
    <row r="19" spans="1:8" ht="34.9" customHeight="1">
      <c r="A19" s="6">
        <f t="shared" si="0"/>
        <v>17</v>
      </c>
      <c r="B19" s="10">
        <v>46204</v>
      </c>
      <c r="C19" s="11" t="s">
        <v>38</v>
      </c>
      <c r="D19" s="5" t="s">
        <v>68</v>
      </c>
      <c r="E19" s="6" t="s">
        <v>69</v>
      </c>
      <c r="F19" s="7">
        <v>46211</v>
      </c>
      <c r="G19" s="8" t="s">
        <v>4</v>
      </c>
      <c r="H19" s="9" t="s">
        <v>70</v>
      </c>
    </row>
    <row r="20" spans="1:8" ht="34.9" customHeight="1">
      <c r="A20" s="6">
        <f t="shared" si="0"/>
        <v>18</v>
      </c>
      <c r="B20" s="10">
        <v>46204</v>
      </c>
      <c r="C20" s="11" t="s">
        <v>38</v>
      </c>
      <c r="D20" s="5" t="s">
        <v>71</v>
      </c>
      <c r="E20" s="6" t="s">
        <v>51</v>
      </c>
      <c r="F20" s="7">
        <v>46252</v>
      </c>
      <c r="G20" s="8" t="s">
        <v>4</v>
      </c>
      <c r="H20" s="9"/>
    </row>
  </sheetData>
  <mergeCells count="1">
    <mergeCell ref="B1:G1"/>
  </mergeCells>
  <conditionalFormatting sqref="G3:G20">
    <cfRule type="cellIs" dxfId="5" priority="1" operator="equal">
      <formula>"CANCELADO"</formula>
    </cfRule>
    <cfRule type="cellIs" dxfId="4" priority="2" operator="equal">
      <formula>"EM ESTUDO"</formula>
    </cfRule>
    <cfRule type="cellIs" dxfId="3" priority="3" operator="equal">
      <formula>"A INICIAR"</formula>
    </cfRule>
    <cfRule type="cellIs" dxfId="2" priority="4" operator="equal">
      <formula>"ATRASADO"</formula>
    </cfRule>
    <cfRule type="cellIs" dxfId="1" priority="5" operator="equal">
      <formula>"ANDAMENTO"</formula>
    </cfRule>
    <cfRule type="cellIs" dxfId="0" priority="6" operator="equal">
      <formula>"CONCLUÍDO"</formula>
    </cfRule>
  </conditionalFormatting>
  <dataValidations count="1">
    <dataValidation type="list" allowBlank="1" showInputMessage="1" showErrorMessage="1" sqref="G3:G20" xr:uid="{AA475E95-D715-4C9C-B091-3BA24C6E5D62}">
      <formula1>"CONCLUÍDO,ANDAMENTO,A INICIAR,EM ESTUDO,CANCELADO"</formula1>
    </dataValidation>
  </dataValidation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Resumo</vt:lpstr>
      <vt:lpstr>Projetos</vt:lpstr>
      <vt:lpstr>Barcaça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Luiz Antonio Garcia</dc:creator>
  <cp:keywords/>
  <dc:description/>
  <cp:lastModifiedBy>Ivo Alexandre Soares</cp:lastModifiedBy>
  <cp:revision/>
  <dcterms:created xsi:type="dcterms:W3CDTF">2026-07-06T13:36:30Z</dcterms:created>
  <dcterms:modified xsi:type="dcterms:W3CDTF">2026-08-28T14:55:00Z</dcterms:modified>
  <cp:category/>
  <cp:contentStatus/>
</cp:coreProperties>
</file>